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78CC1AB-E34A-41FD-84A7-B6075D5B0CD8}" xr6:coauthVersionLast="36" xr6:coauthVersionMax="36" xr10:uidLastSave="{00000000-0000-0000-0000-000000000000}"/>
  <bookViews>
    <workbookView xWindow="0" yWindow="0" windowWidth="28800" windowHeight="12255" activeTab="1" xr2:uid="{6B4C8BE1-17AD-453A-A7EE-0AFAB54F1F6B}"/>
  </bookViews>
  <sheets>
    <sheet name="주사위" sheetId="3" r:id="rId1"/>
    <sheet name="(1)" sheetId="2" r:id="rId2"/>
    <sheet name="(2)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2" i="2"/>
  <c r="H3" i="2" l="1"/>
  <c r="H15" i="3"/>
  <c r="E17" i="3"/>
  <c r="E18" i="3"/>
  <c r="E19" i="3"/>
  <c r="E20" i="3"/>
  <c r="E21" i="3"/>
  <c r="E16" i="3"/>
  <c r="D17" i="3"/>
  <c r="D18" i="3"/>
  <c r="D19" i="3"/>
  <c r="D20" i="3"/>
  <c r="D21" i="3"/>
  <c r="D16" i="3"/>
  <c r="P3" i="2" l="1"/>
  <c r="P4" i="2"/>
  <c r="P5" i="2"/>
  <c r="P6" i="2"/>
  <c r="P7" i="2"/>
  <c r="P8" i="2"/>
  <c r="P9" i="2"/>
  <c r="S9" i="2" s="1"/>
  <c r="P10" i="2"/>
  <c r="S10" i="2" s="1"/>
  <c r="T10" i="2" s="1"/>
  <c r="P11" i="2"/>
  <c r="P12" i="2"/>
  <c r="P13" i="2"/>
  <c r="P14" i="2"/>
  <c r="P15" i="2"/>
  <c r="P16" i="2"/>
  <c r="P17" i="2"/>
  <c r="P18" i="2"/>
  <c r="P19" i="2"/>
  <c r="S19" i="2" s="1"/>
  <c r="P20" i="2"/>
  <c r="P21" i="2"/>
  <c r="P22" i="2"/>
  <c r="P23" i="2"/>
  <c r="P24" i="2"/>
  <c r="P25" i="2"/>
  <c r="S25" i="2" s="1"/>
  <c r="P26" i="2"/>
  <c r="S26" i="2" s="1"/>
  <c r="P27" i="2"/>
  <c r="P28" i="2"/>
  <c r="P29" i="2"/>
  <c r="S29" i="2" s="1"/>
  <c r="P30" i="2"/>
  <c r="P31" i="2"/>
  <c r="P32" i="2"/>
  <c r="P33" i="2"/>
  <c r="P34" i="2"/>
  <c r="P35" i="2"/>
  <c r="P36" i="2"/>
  <c r="P37" i="2"/>
  <c r="P38" i="2"/>
  <c r="P39" i="2"/>
  <c r="P40" i="2"/>
  <c r="P41" i="2"/>
  <c r="S41" i="2" s="1"/>
  <c r="P2" i="2"/>
  <c r="S3" i="2"/>
  <c r="S4" i="2"/>
  <c r="T4" i="2" s="1"/>
  <c r="S28" i="2"/>
  <c r="T28" i="2" s="1"/>
  <c r="S30" i="2"/>
  <c r="R41" i="2"/>
  <c r="Q41" i="2"/>
  <c r="N41" i="2"/>
  <c r="R40" i="2"/>
  <c r="Q40" i="2"/>
  <c r="S40" i="2" s="1"/>
  <c r="T40" i="2" s="1"/>
  <c r="N40" i="2"/>
  <c r="R39" i="2"/>
  <c r="Q39" i="2"/>
  <c r="S39" i="2"/>
  <c r="N39" i="2"/>
  <c r="R38" i="2"/>
  <c r="Q38" i="2"/>
  <c r="N38" i="2"/>
  <c r="R37" i="2"/>
  <c r="Q37" i="2"/>
  <c r="S37" i="2" s="1"/>
  <c r="N37" i="2"/>
  <c r="S36" i="2"/>
  <c r="T36" i="2" s="1"/>
  <c r="R36" i="2"/>
  <c r="Q36" i="2"/>
  <c r="N36" i="2"/>
  <c r="R35" i="2"/>
  <c r="Q35" i="2"/>
  <c r="S35" i="2"/>
  <c r="N35" i="2"/>
  <c r="R34" i="2"/>
  <c r="Q34" i="2"/>
  <c r="N34" i="2"/>
  <c r="R33" i="2"/>
  <c r="Q33" i="2"/>
  <c r="N33" i="2"/>
  <c r="R32" i="2"/>
  <c r="Q32" i="2"/>
  <c r="N32" i="2"/>
  <c r="R31" i="2"/>
  <c r="Q31" i="2"/>
  <c r="N31" i="2"/>
  <c r="R30" i="2"/>
  <c r="Q30" i="2"/>
  <c r="N30" i="2"/>
  <c r="R29" i="2"/>
  <c r="Q29" i="2"/>
  <c r="N29" i="2"/>
  <c r="R28" i="2"/>
  <c r="Q28" i="2"/>
  <c r="N28" i="2"/>
  <c r="R27" i="2"/>
  <c r="Q27" i="2"/>
  <c r="N27" i="2"/>
  <c r="R26" i="2"/>
  <c r="Q26" i="2"/>
  <c r="N26" i="2"/>
  <c r="R25" i="2"/>
  <c r="Q25" i="2"/>
  <c r="N25" i="2"/>
  <c r="R24" i="2"/>
  <c r="Q24" i="2"/>
  <c r="S24" i="2" s="1"/>
  <c r="T24" i="2" s="1"/>
  <c r="N24" i="2"/>
  <c r="R23" i="2"/>
  <c r="Q23" i="2"/>
  <c r="N23" i="2"/>
  <c r="R22" i="2"/>
  <c r="Q22" i="2"/>
  <c r="N22" i="2"/>
  <c r="R21" i="2"/>
  <c r="Q21" i="2"/>
  <c r="N21" i="2"/>
  <c r="S20" i="2"/>
  <c r="T20" i="2" s="1"/>
  <c r="R20" i="2"/>
  <c r="Q20" i="2"/>
  <c r="N20" i="2"/>
  <c r="R19" i="2"/>
  <c r="Q19" i="2"/>
  <c r="N19" i="2"/>
  <c r="R18" i="2"/>
  <c r="Q18" i="2"/>
  <c r="N18" i="2"/>
  <c r="R17" i="2"/>
  <c r="Q17" i="2"/>
  <c r="N17" i="2"/>
  <c r="R16" i="2"/>
  <c r="Q16" i="2"/>
  <c r="S16" i="2" s="1"/>
  <c r="T16" i="2" s="1"/>
  <c r="N16" i="2"/>
  <c r="R15" i="2"/>
  <c r="Q15" i="2"/>
  <c r="N15" i="2"/>
  <c r="R14" i="2"/>
  <c r="Q14" i="2"/>
  <c r="N14" i="2"/>
  <c r="S13" i="2"/>
  <c r="R13" i="2"/>
  <c r="Q13" i="2"/>
  <c r="N13" i="2"/>
  <c r="S12" i="2"/>
  <c r="T12" i="2" s="1"/>
  <c r="R12" i="2"/>
  <c r="Q12" i="2"/>
  <c r="N12" i="2"/>
  <c r="R11" i="2"/>
  <c r="Q11" i="2"/>
  <c r="N11" i="2"/>
  <c r="R10" i="2"/>
  <c r="Q10" i="2"/>
  <c r="N10" i="2"/>
  <c r="R9" i="2"/>
  <c r="Q9" i="2"/>
  <c r="N9" i="2"/>
  <c r="R8" i="2"/>
  <c r="Q8" i="2"/>
  <c r="S8" i="2" s="1"/>
  <c r="T8" i="2" s="1"/>
  <c r="N8" i="2"/>
  <c r="R7" i="2"/>
  <c r="Q7" i="2"/>
  <c r="N7" i="2"/>
  <c r="R6" i="2"/>
  <c r="Q6" i="2"/>
  <c r="N6" i="2"/>
  <c r="R5" i="2"/>
  <c r="Q5" i="2"/>
  <c r="N5" i="2"/>
  <c r="R4" i="2"/>
  <c r="Q4" i="2"/>
  <c r="N4" i="2"/>
  <c r="R3" i="2"/>
  <c r="Q3" i="2"/>
  <c r="N3" i="2"/>
  <c r="R2" i="2"/>
  <c r="Q2" i="2"/>
  <c r="N2" i="2"/>
  <c r="G3" i="2"/>
  <c r="G4" i="2"/>
  <c r="G5" i="2"/>
  <c r="G6" i="2"/>
  <c r="G7" i="2"/>
  <c r="G8" i="2"/>
  <c r="G9" i="2"/>
  <c r="I9" i="2" s="1"/>
  <c r="G10" i="2"/>
  <c r="I10" i="2" s="1"/>
  <c r="J10" i="2" s="1"/>
  <c r="G11" i="2"/>
  <c r="G12" i="2"/>
  <c r="G13" i="2"/>
  <c r="G14" i="2"/>
  <c r="G15" i="2"/>
  <c r="G16" i="2"/>
  <c r="G17" i="2"/>
  <c r="G18" i="2"/>
  <c r="I18" i="2" s="1"/>
  <c r="J18" i="2" s="1"/>
  <c r="G19" i="2"/>
  <c r="G20" i="2"/>
  <c r="G21" i="2"/>
  <c r="G22" i="2"/>
  <c r="G23" i="2"/>
  <c r="G24" i="2"/>
  <c r="G25" i="2"/>
  <c r="G26" i="2"/>
  <c r="I26" i="2" s="1"/>
  <c r="J26" i="2" s="1"/>
  <c r="G27" i="2"/>
  <c r="G28" i="2"/>
  <c r="G29" i="2"/>
  <c r="G30" i="2"/>
  <c r="G31" i="2"/>
  <c r="G32" i="2"/>
  <c r="G33" i="2"/>
  <c r="G34" i="2"/>
  <c r="I34" i="2" s="1"/>
  <c r="J34" i="2" s="1"/>
  <c r="G35" i="2"/>
  <c r="G36" i="2"/>
  <c r="G37" i="2"/>
  <c r="G38" i="2"/>
  <c r="G39" i="2"/>
  <c r="G40" i="2"/>
  <c r="G41" i="2"/>
  <c r="I41" i="2" s="1"/>
  <c r="G2" i="2"/>
  <c r="I19" i="2"/>
  <c r="I35" i="2"/>
  <c r="H41" i="2"/>
  <c r="D41" i="2"/>
  <c r="H40" i="2"/>
  <c r="I40" i="2"/>
  <c r="D40" i="2"/>
  <c r="H39" i="2"/>
  <c r="D39" i="2"/>
  <c r="H38" i="2"/>
  <c r="D38" i="2"/>
  <c r="H37" i="2"/>
  <c r="I37" i="2"/>
  <c r="J37" i="2" s="1"/>
  <c r="D37" i="2"/>
  <c r="H36" i="2"/>
  <c r="D36" i="2"/>
  <c r="H35" i="2"/>
  <c r="D35" i="2"/>
  <c r="H34" i="2"/>
  <c r="D34" i="2"/>
  <c r="H33" i="2"/>
  <c r="D33" i="2"/>
  <c r="H32" i="2"/>
  <c r="D32" i="2"/>
  <c r="H31" i="2"/>
  <c r="I31" i="2"/>
  <c r="D31" i="2"/>
  <c r="H30" i="2"/>
  <c r="D30" i="2"/>
  <c r="H29" i="2"/>
  <c r="D29" i="2"/>
  <c r="H28" i="2"/>
  <c r="D28" i="2"/>
  <c r="H27" i="2"/>
  <c r="D27" i="2"/>
  <c r="H26" i="2"/>
  <c r="D26" i="2"/>
  <c r="H25" i="2"/>
  <c r="D25" i="2"/>
  <c r="H24" i="2"/>
  <c r="I24" i="2"/>
  <c r="J24" i="2" s="1"/>
  <c r="D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H16" i="2"/>
  <c r="D16" i="2"/>
  <c r="H15" i="2"/>
  <c r="I15" i="2"/>
  <c r="D15" i="2"/>
  <c r="H14" i="2"/>
  <c r="D14" i="2"/>
  <c r="H13" i="2"/>
  <c r="I13" i="2"/>
  <c r="D13" i="2"/>
  <c r="H12" i="2"/>
  <c r="D12" i="2"/>
  <c r="H11" i="2"/>
  <c r="I11" i="2"/>
  <c r="J11" i="2" s="1"/>
  <c r="D11" i="2"/>
  <c r="H10" i="2"/>
  <c r="D10" i="2"/>
  <c r="H9" i="2"/>
  <c r="D9" i="2"/>
  <c r="H8" i="2"/>
  <c r="D8" i="2"/>
  <c r="H7" i="2"/>
  <c r="D7" i="2"/>
  <c r="H6" i="2"/>
  <c r="D6" i="2"/>
  <c r="H5" i="2"/>
  <c r="D5" i="2"/>
  <c r="I5" i="2"/>
  <c r="H4" i="2"/>
  <c r="D4" i="2"/>
  <c r="D3" i="2"/>
  <c r="H2" i="2"/>
  <c r="I2" i="2"/>
  <c r="J2" i="2" s="1"/>
  <c r="D2" i="2"/>
  <c r="R3" i="1"/>
  <c r="R4" i="1"/>
  <c r="R5" i="1"/>
  <c r="R6" i="1"/>
  <c r="R7" i="1"/>
  <c r="R8" i="1"/>
  <c r="R9" i="1"/>
  <c r="R10" i="1"/>
  <c r="U10" i="1" s="1"/>
  <c r="V10" i="1" s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T41" i="1"/>
  <c r="P41" i="1"/>
  <c r="O41" i="1"/>
  <c r="S41" i="1" s="1"/>
  <c r="T40" i="1"/>
  <c r="P40" i="1"/>
  <c r="O40" i="1"/>
  <c r="S40" i="1" s="1"/>
  <c r="T39" i="1"/>
  <c r="S39" i="1"/>
  <c r="U39" i="1" s="1"/>
  <c r="V39" i="1" s="1"/>
  <c r="P39" i="1"/>
  <c r="O39" i="1"/>
  <c r="T38" i="1"/>
  <c r="P38" i="1"/>
  <c r="O38" i="1"/>
  <c r="S38" i="1" s="1"/>
  <c r="U38" i="1" s="1"/>
  <c r="T37" i="1"/>
  <c r="S37" i="1"/>
  <c r="U37" i="1" s="1"/>
  <c r="P37" i="1"/>
  <c r="O37" i="1"/>
  <c r="T36" i="1"/>
  <c r="P36" i="1"/>
  <c r="O36" i="1"/>
  <c r="S36" i="1" s="1"/>
  <c r="T35" i="1"/>
  <c r="P35" i="1"/>
  <c r="O35" i="1"/>
  <c r="S35" i="1" s="1"/>
  <c r="T34" i="1"/>
  <c r="P34" i="1"/>
  <c r="O34" i="1"/>
  <c r="S34" i="1" s="1"/>
  <c r="T33" i="1"/>
  <c r="P33" i="1"/>
  <c r="O33" i="1"/>
  <c r="S33" i="1" s="1"/>
  <c r="T32" i="1"/>
  <c r="P32" i="1"/>
  <c r="O32" i="1"/>
  <c r="S32" i="1" s="1"/>
  <c r="U32" i="1" s="1"/>
  <c r="V32" i="1" s="1"/>
  <c r="T31" i="1"/>
  <c r="P31" i="1"/>
  <c r="O31" i="1"/>
  <c r="S31" i="1" s="1"/>
  <c r="T30" i="1"/>
  <c r="P30" i="1"/>
  <c r="O30" i="1"/>
  <c r="S30" i="1" s="1"/>
  <c r="T29" i="1"/>
  <c r="P29" i="1"/>
  <c r="O29" i="1"/>
  <c r="S29" i="1" s="1"/>
  <c r="T28" i="1"/>
  <c r="P28" i="1"/>
  <c r="O28" i="1"/>
  <c r="S28" i="1" s="1"/>
  <c r="T27" i="1"/>
  <c r="U27" i="1"/>
  <c r="V27" i="1" s="1"/>
  <c r="P27" i="1"/>
  <c r="O27" i="1"/>
  <c r="S27" i="1" s="1"/>
  <c r="T26" i="1"/>
  <c r="P26" i="1"/>
  <c r="O26" i="1"/>
  <c r="S26" i="1" s="1"/>
  <c r="T25" i="1"/>
  <c r="P25" i="1"/>
  <c r="O25" i="1"/>
  <c r="S25" i="1" s="1"/>
  <c r="T24" i="1"/>
  <c r="P24" i="1"/>
  <c r="O24" i="1"/>
  <c r="S24" i="1" s="1"/>
  <c r="U24" i="1" s="1"/>
  <c r="V24" i="1" s="1"/>
  <c r="T23" i="1"/>
  <c r="P23" i="1"/>
  <c r="O23" i="1"/>
  <c r="S23" i="1" s="1"/>
  <c r="T22" i="1"/>
  <c r="S22" i="1"/>
  <c r="P22" i="1"/>
  <c r="O22" i="1"/>
  <c r="T21" i="1"/>
  <c r="S21" i="1"/>
  <c r="P21" i="1"/>
  <c r="O21" i="1"/>
  <c r="T20" i="1"/>
  <c r="P20" i="1"/>
  <c r="O20" i="1"/>
  <c r="S20" i="1" s="1"/>
  <c r="T19" i="1"/>
  <c r="P19" i="1"/>
  <c r="O19" i="1"/>
  <c r="S19" i="1" s="1"/>
  <c r="T18" i="1"/>
  <c r="P18" i="1"/>
  <c r="O18" i="1"/>
  <c r="S18" i="1" s="1"/>
  <c r="T17" i="1"/>
  <c r="P17" i="1"/>
  <c r="O17" i="1"/>
  <c r="S17" i="1" s="1"/>
  <c r="U17" i="1" s="1"/>
  <c r="V17" i="1" s="1"/>
  <c r="T16" i="1"/>
  <c r="P16" i="1"/>
  <c r="O16" i="1"/>
  <c r="S16" i="1" s="1"/>
  <c r="U16" i="1" s="1"/>
  <c r="V16" i="1" s="1"/>
  <c r="T15" i="1"/>
  <c r="S15" i="1"/>
  <c r="U15" i="1" s="1"/>
  <c r="V15" i="1" s="1"/>
  <c r="P15" i="1"/>
  <c r="O15" i="1"/>
  <c r="T14" i="1"/>
  <c r="P14" i="1"/>
  <c r="O14" i="1"/>
  <c r="S14" i="1" s="1"/>
  <c r="T13" i="1"/>
  <c r="P13" i="1"/>
  <c r="O13" i="1"/>
  <c r="S13" i="1" s="1"/>
  <c r="T12" i="1"/>
  <c r="S12" i="1"/>
  <c r="P12" i="1"/>
  <c r="O12" i="1"/>
  <c r="T11" i="1"/>
  <c r="P11" i="1"/>
  <c r="O11" i="1"/>
  <c r="S11" i="1" s="1"/>
  <c r="T10" i="1"/>
  <c r="P10" i="1"/>
  <c r="O10" i="1"/>
  <c r="S10" i="1" s="1"/>
  <c r="T9" i="1"/>
  <c r="P9" i="1"/>
  <c r="O9" i="1"/>
  <c r="S9" i="1" s="1"/>
  <c r="T8" i="1"/>
  <c r="P8" i="1"/>
  <c r="O8" i="1"/>
  <c r="S8" i="1" s="1"/>
  <c r="U8" i="1" s="1"/>
  <c r="V8" i="1" s="1"/>
  <c r="T7" i="1"/>
  <c r="P7" i="1"/>
  <c r="O7" i="1"/>
  <c r="S7" i="1" s="1"/>
  <c r="T6" i="1"/>
  <c r="P6" i="1"/>
  <c r="O6" i="1"/>
  <c r="S6" i="1" s="1"/>
  <c r="U6" i="1" s="1"/>
  <c r="T5" i="1"/>
  <c r="S5" i="1"/>
  <c r="P5" i="1"/>
  <c r="O5" i="1"/>
  <c r="T4" i="1"/>
  <c r="P4" i="1"/>
  <c r="O4" i="1"/>
  <c r="S4" i="1" s="1"/>
  <c r="T3" i="1"/>
  <c r="P3" i="1"/>
  <c r="O3" i="1"/>
  <c r="S3" i="1" s="1"/>
  <c r="T2" i="1"/>
  <c r="P2" i="1"/>
  <c r="S2" i="1"/>
  <c r="H3" i="1"/>
  <c r="H4" i="1"/>
  <c r="J4" i="1" s="1"/>
  <c r="K4" i="1" s="1"/>
  <c r="H5" i="1"/>
  <c r="J5" i="1" s="1"/>
  <c r="K5" i="1" s="1"/>
  <c r="H6" i="1"/>
  <c r="H7" i="1"/>
  <c r="J7" i="1" s="1"/>
  <c r="K7" i="1" s="1"/>
  <c r="H8" i="1"/>
  <c r="H9" i="1"/>
  <c r="H10" i="1"/>
  <c r="J10" i="1" s="1"/>
  <c r="K10" i="1" s="1"/>
  <c r="H11" i="1"/>
  <c r="H12" i="1"/>
  <c r="J12" i="1" s="1"/>
  <c r="K12" i="1" s="1"/>
  <c r="H13" i="1"/>
  <c r="J13" i="1" s="1"/>
  <c r="K13" i="1" s="1"/>
  <c r="H14" i="1"/>
  <c r="H15" i="1"/>
  <c r="H16" i="1"/>
  <c r="H17" i="1"/>
  <c r="H18" i="1"/>
  <c r="J18" i="1" s="1"/>
  <c r="K18" i="1" s="1"/>
  <c r="H19" i="1"/>
  <c r="H20" i="1"/>
  <c r="J20" i="1" s="1"/>
  <c r="K20" i="1" s="1"/>
  <c r="H21" i="1"/>
  <c r="J21" i="1" s="1"/>
  <c r="K21" i="1" s="1"/>
  <c r="H22" i="1"/>
  <c r="H23" i="1"/>
  <c r="J23" i="1" s="1"/>
  <c r="K23" i="1" s="1"/>
  <c r="H24" i="1"/>
  <c r="H25" i="1"/>
  <c r="H26" i="1"/>
  <c r="J26" i="1" s="1"/>
  <c r="K26" i="1" s="1"/>
  <c r="H27" i="1"/>
  <c r="H28" i="1"/>
  <c r="J28" i="1" s="1"/>
  <c r="K28" i="1" s="1"/>
  <c r="H29" i="1"/>
  <c r="J29" i="1" s="1"/>
  <c r="K29" i="1" s="1"/>
  <c r="H30" i="1"/>
  <c r="H31" i="1"/>
  <c r="H32" i="1"/>
  <c r="H33" i="1"/>
  <c r="H34" i="1"/>
  <c r="H35" i="1"/>
  <c r="H36" i="1"/>
  <c r="J36" i="1" s="1"/>
  <c r="K36" i="1" s="1"/>
  <c r="H37" i="1"/>
  <c r="J37" i="1" s="1"/>
  <c r="K37" i="1" s="1"/>
  <c r="H38" i="1"/>
  <c r="H39" i="1"/>
  <c r="J39" i="1" s="1"/>
  <c r="K39" i="1" s="1"/>
  <c r="H40" i="1"/>
  <c r="H41" i="1"/>
  <c r="H2" i="1"/>
  <c r="J8" i="1"/>
  <c r="K8" i="1" s="1"/>
  <c r="J9" i="1"/>
  <c r="K9" i="1" s="1"/>
  <c r="J16" i="1"/>
  <c r="K16" i="1" s="1"/>
  <c r="J17" i="1"/>
  <c r="K17" i="1" s="1"/>
  <c r="J24" i="1"/>
  <c r="K24" i="1" s="1"/>
  <c r="J25" i="1"/>
  <c r="K25" i="1" s="1"/>
  <c r="J32" i="1"/>
  <c r="K32" i="1" s="1"/>
  <c r="J33" i="1"/>
  <c r="K33" i="1" s="1"/>
  <c r="J34" i="1"/>
  <c r="K34" i="1" s="1"/>
  <c r="J40" i="1"/>
  <c r="K40" i="1" s="1"/>
  <c r="J41" i="1"/>
  <c r="K41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2" i="1"/>
  <c r="J3" i="1"/>
  <c r="K3" i="1" s="1"/>
  <c r="J6" i="1"/>
  <c r="K6" i="1" s="1"/>
  <c r="J11" i="1"/>
  <c r="K11" i="1" s="1"/>
  <c r="J14" i="1"/>
  <c r="K14" i="1" s="1"/>
  <c r="J15" i="1"/>
  <c r="K15" i="1" s="1"/>
  <c r="J19" i="1"/>
  <c r="K19" i="1" s="1"/>
  <c r="J22" i="1"/>
  <c r="K22" i="1" s="1"/>
  <c r="J27" i="1"/>
  <c r="K27" i="1" s="1"/>
  <c r="J30" i="1"/>
  <c r="K30" i="1" s="1"/>
  <c r="J31" i="1"/>
  <c r="K31" i="1" s="1"/>
  <c r="J35" i="1"/>
  <c r="K35" i="1" s="1"/>
  <c r="J38" i="1"/>
  <c r="K38" i="1" s="1"/>
  <c r="J2" i="1"/>
  <c r="K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" i="1"/>
  <c r="S32" i="2" l="1"/>
  <c r="T32" i="2" s="1"/>
  <c r="S21" i="2"/>
  <c r="T21" i="2" s="1"/>
  <c r="S33" i="2"/>
  <c r="T33" i="2" s="1"/>
  <c r="S5" i="2"/>
  <c r="T5" i="2" s="1"/>
  <c r="S17" i="2"/>
  <c r="T17" i="2" s="1"/>
  <c r="T29" i="2"/>
  <c r="T13" i="2"/>
  <c r="T3" i="2"/>
  <c r="S7" i="2"/>
  <c r="S14" i="2"/>
  <c r="T14" i="2" s="1"/>
  <c r="T19" i="2"/>
  <c r="S23" i="2"/>
  <c r="T23" i="2" s="1"/>
  <c r="T26" i="2"/>
  <c r="T35" i="2"/>
  <c r="T37" i="2"/>
  <c r="S11" i="2"/>
  <c r="T11" i="2" s="1"/>
  <c r="S18" i="2"/>
  <c r="T18" i="2" s="1"/>
  <c r="S27" i="2"/>
  <c r="T27" i="2" s="1"/>
  <c r="S34" i="2"/>
  <c r="T34" i="2" s="1"/>
  <c r="T9" i="2"/>
  <c r="T25" i="2"/>
  <c r="T41" i="2"/>
  <c r="S6" i="2"/>
  <c r="T6" i="2" s="1"/>
  <c r="S15" i="2"/>
  <c r="T15" i="2" s="1"/>
  <c r="S22" i="2"/>
  <c r="T22" i="2" s="1"/>
  <c r="S31" i="2"/>
  <c r="T31" i="2" s="1"/>
  <c r="S38" i="2"/>
  <c r="T38" i="2" s="1"/>
  <c r="S2" i="2"/>
  <c r="T2" i="2" s="1"/>
  <c r="T7" i="2"/>
  <c r="T30" i="2"/>
  <c r="T39" i="2"/>
  <c r="I33" i="2"/>
  <c r="I25" i="2"/>
  <c r="J25" i="2" s="1"/>
  <c r="I17" i="2"/>
  <c r="J35" i="2"/>
  <c r="I29" i="2"/>
  <c r="J29" i="2" s="1"/>
  <c r="I21" i="2"/>
  <c r="J21" i="2" s="1"/>
  <c r="J19" i="2"/>
  <c r="I27" i="2"/>
  <c r="J27" i="2" s="1"/>
  <c r="I3" i="2"/>
  <c r="J3" i="2" s="1"/>
  <c r="I7" i="2"/>
  <c r="J17" i="2"/>
  <c r="I8" i="2"/>
  <c r="J8" i="2" s="1"/>
  <c r="J9" i="2"/>
  <c r="I23" i="2"/>
  <c r="J23" i="2" s="1"/>
  <c r="J13" i="2"/>
  <c r="I39" i="2"/>
  <c r="J39" i="2" s="1"/>
  <c r="I4" i="2"/>
  <c r="J4" i="2" s="1"/>
  <c r="I6" i="2"/>
  <c r="J6" i="2" s="1"/>
  <c r="I16" i="2"/>
  <c r="J16" i="2" s="1"/>
  <c r="J33" i="2"/>
  <c r="J41" i="2"/>
  <c r="I32" i="2"/>
  <c r="J32" i="2" s="1"/>
  <c r="I20" i="2"/>
  <c r="J20" i="2" s="1"/>
  <c r="I22" i="2"/>
  <c r="J15" i="2"/>
  <c r="J22" i="2"/>
  <c r="I36" i="2"/>
  <c r="J36" i="2" s="1"/>
  <c r="I38" i="2"/>
  <c r="J38" i="2" s="1"/>
  <c r="J5" i="2"/>
  <c r="I12" i="2"/>
  <c r="I14" i="2"/>
  <c r="J14" i="2" s="1"/>
  <c r="J31" i="2"/>
  <c r="J7" i="2"/>
  <c r="J12" i="2"/>
  <c r="I28" i="2"/>
  <c r="J28" i="2" s="1"/>
  <c r="I30" i="2"/>
  <c r="J30" i="2" s="1"/>
  <c r="J40" i="2"/>
  <c r="U22" i="1"/>
  <c r="U25" i="1"/>
  <c r="V25" i="1" s="1"/>
  <c r="U30" i="1"/>
  <c r="U33" i="1"/>
  <c r="V33" i="1" s="1"/>
  <c r="U23" i="1"/>
  <c r="V23" i="1" s="1"/>
  <c r="U9" i="1"/>
  <c r="V9" i="1" s="1"/>
  <c r="U31" i="1"/>
  <c r="V31" i="1" s="1"/>
  <c r="U41" i="1"/>
  <c r="V41" i="1" s="1"/>
  <c r="U14" i="1"/>
  <c r="U7" i="1"/>
  <c r="V7" i="1" s="1"/>
  <c r="V14" i="1"/>
  <c r="U28" i="1"/>
  <c r="V28" i="1" s="1"/>
  <c r="U13" i="1"/>
  <c r="V13" i="1" s="1"/>
  <c r="V6" i="1"/>
  <c r="U20" i="1"/>
  <c r="V20" i="1" s="1"/>
  <c r="U5" i="1"/>
  <c r="V5" i="1" s="1"/>
  <c r="U12" i="1"/>
  <c r="V30" i="1"/>
  <c r="U29" i="1"/>
  <c r="U34" i="1"/>
  <c r="V34" i="1" s="1"/>
  <c r="U4" i="1"/>
  <c r="V22" i="1"/>
  <c r="U36" i="1"/>
  <c r="V36" i="1" s="1"/>
  <c r="U21" i="1"/>
  <c r="U2" i="1"/>
  <c r="V2" i="1" s="1"/>
  <c r="V12" i="1"/>
  <c r="V29" i="1"/>
  <c r="V4" i="1"/>
  <c r="U11" i="1"/>
  <c r="V11" i="1" s="1"/>
  <c r="U26" i="1"/>
  <c r="V26" i="1" s="1"/>
  <c r="V21" i="1"/>
  <c r="V38" i="1"/>
  <c r="U3" i="1"/>
  <c r="V3" i="1" s="1"/>
  <c r="U18" i="1"/>
  <c r="V18" i="1" s="1"/>
  <c r="U35" i="1"/>
  <c r="V35" i="1" s="1"/>
  <c r="U40" i="1"/>
  <c r="V40" i="1" s="1"/>
  <c r="V37" i="1"/>
  <c r="U19" i="1"/>
  <c r="V19" i="1" s="1"/>
  <c r="K1" i="1"/>
  <c r="T1" i="2" l="1"/>
  <c r="J1" i="2"/>
  <c r="V1" i="1"/>
</calcChain>
</file>

<file path=xl/sharedStrings.xml><?xml version="1.0" encoding="utf-8"?>
<sst xmlns="http://schemas.openxmlformats.org/spreadsheetml/2006/main" count="33" uniqueCount="16">
  <si>
    <t>c 기념품</t>
    <phoneticPr fontId="1" type="noConversion"/>
  </si>
  <si>
    <t>판케이크</t>
    <phoneticPr fontId="1" type="noConversion"/>
  </si>
  <si>
    <t>케이크</t>
    <phoneticPr fontId="1" type="noConversion"/>
  </si>
  <si>
    <t>방문자</t>
    <phoneticPr fontId="1" type="noConversion"/>
  </si>
  <si>
    <t>이윤</t>
    <phoneticPr fontId="1" type="noConversion"/>
  </si>
  <si>
    <t>지출</t>
    <phoneticPr fontId="1" type="noConversion"/>
  </si>
  <si>
    <t>확률</t>
    <phoneticPr fontId="1" type="noConversion"/>
  </si>
  <si>
    <t>주사위 기댓값</t>
    <phoneticPr fontId="1" type="noConversion"/>
  </si>
  <si>
    <t>x</t>
    <phoneticPr fontId="1" type="noConversion"/>
  </si>
  <si>
    <t>P(x)</t>
    <phoneticPr fontId="1" type="noConversion"/>
  </si>
  <si>
    <t>xP(x)</t>
    <phoneticPr fontId="1" type="noConversion"/>
  </si>
  <si>
    <t>E[X]</t>
    <phoneticPr fontId="1" type="noConversion"/>
  </si>
  <si>
    <t>방문자(X)</t>
    <phoneticPr fontId="1" type="noConversion"/>
  </si>
  <si>
    <t>확률 P(X)</t>
    <phoneticPr fontId="1" type="noConversion"/>
  </si>
  <si>
    <t>매출</t>
    <phoneticPr fontId="1" type="noConversion"/>
  </si>
  <si>
    <t>이윤=매출-지출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</si>
</sst>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3</xdr:row>
      <xdr:rowOff>152400</xdr:rowOff>
    </xdr:from>
    <xdr:to>
      <xdr:col>3</xdr:col>
      <xdr:colOff>457200</xdr:colOff>
      <xdr:row>6</xdr:row>
      <xdr:rowOff>9525</xdr:rowOff>
    </xdr:to>
    <xdr:pic>
      <xdr:nvPicPr>
        <xdr:cNvPr id="2" name="그림 1" descr="https://t1.daumcdn.net/cfile/tistory/996B793359B16A5039">
          <a:extLst>
            <a:ext uri="{FF2B5EF4-FFF2-40B4-BE49-F238E27FC236}">
              <a16:creationId xmlns:a16="http://schemas.microsoft.com/office/drawing/2014/main" id="{62B24FD0-4D15-40F8-9969-872491906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638175"/>
          <a:ext cx="15811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200025</xdr:colOff>
      <xdr:row>6</xdr:row>
      <xdr:rowOff>85725</xdr:rowOff>
    </xdr:from>
    <xdr:to>
      <xdr:col>9</xdr:col>
      <xdr:colOff>419100</xdr:colOff>
      <xdr:row>9</xdr:row>
      <xdr:rowOff>152400</xdr:rowOff>
    </xdr:to>
    <xdr:pic>
      <xdr:nvPicPr>
        <xdr:cNvPr id="3" name="그림 2" descr="https://t1.daumcdn.net/cfile/tistory/992C723359B16AAB07">
          <a:extLst>
            <a:ext uri="{FF2B5EF4-FFF2-40B4-BE49-F238E27FC236}">
              <a16:creationId xmlns:a16="http://schemas.microsoft.com/office/drawing/2014/main" id="{ADB12359-B6DB-4B0A-BC0B-E312148CF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1057275"/>
          <a:ext cx="5705475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561975</xdr:colOff>
      <xdr:row>41</xdr:row>
      <xdr:rowOff>114300</xdr:rowOff>
    </xdr:from>
    <xdr:to>
      <xdr:col>7</xdr:col>
      <xdr:colOff>590375</xdr:colOff>
      <xdr:row>44</xdr:row>
      <xdr:rowOff>28525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56D9445-0413-4265-B2DB-DF484041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0975" y="6753225"/>
          <a:ext cx="1400000" cy="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A4BA-CA8F-44E8-A1CF-31652B2D779B}">
  <dimension ref="B3:H21"/>
  <sheetViews>
    <sheetView zoomScale="115" zoomScaleNormal="115" workbookViewId="0">
      <selection activeCell="E16" sqref="E16"/>
    </sheetView>
  </sheetViews>
  <sheetFormatPr defaultRowHeight="12.75" x14ac:dyDescent="0.2"/>
  <sheetData>
    <row r="3" spans="2:8" x14ac:dyDescent="0.2">
      <c r="B3" t="s">
        <v>7</v>
      </c>
    </row>
    <row r="15" spans="2:8" x14ac:dyDescent="0.2">
      <c r="C15" t="s">
        <v>8</v>
      </c>
      <c r="D15" t="s">
        <v>9</v>
      </c>
      <c r="E15" t="s">
        <v>10</v>
      </c>
      <c r="G15" t="s">
        <v>11</v>
      </c>
      <c r="H15">
        <f>SUM(E16:E21)</f>
        <v>3.5</v>
      </c>
    </row>
    <row r="16" spans="2:8" x14ac:dyDescent="0.2">
      <c r="C16">
        <v>1</v>
      </c>
      <c r="D16">
        <f>1/6</f>
        <v>0.16666666666666666</v>
      </c>
      <c r="E16">
        <f>C16*D16</f>
        <v>0.16666666666666666</v>
      </c>
    </row>
    <row r="17" spans="3:5" x14ac:dyDescent="0.2">
      <c r="C17">
        <v>2</v>
      </c>
      <c r="D17">
        <f t="shared" ref="D17:D21" si="0">1/6</f>
        <v>0.16666666666666666</v>
      </c>
      <c r="E17">
        <f t="shared" ref="E17:E21" si="1">C17*D17</f>
        <v>0.33333333333333331</v>
      </c>
    </row>
    <row r="18" spans="3:5" x14ac:dyDescent="0.2">
      <c r="C18">
        <v>3</v>
      </c>
      <c r="D18">
        <f t="shared" si="0"/>
        <v>0.16666666666666666</v>
      </c>
      <c r="E18">
        <f t="shared" si="1"/>
        <v>0.5</v>
      </c>
    </row>
    <row r="19" spans="3:5" x14ac:dyDescent="0.2">
      <c r="C19">
        <v>4</v>
      </c>
      <c r="D19">
        <f t="shared" si="0"/>
        <v>0.16666666666666666</v>
      </c>
      <c r="E19">
        <f t="shared" si="1"/>
        <v>0.66666666666666663</v>
      </c>
    </row>
    <row r="20" spans="3:5" x14ac:dyDescent="0.2">
      <c r="C20">
        <v>5</v>
      </c>
      <c r="D20">
        <f t="shared" si="0"/>
        <v>0.16666666666666666</v>
      </c>
      <c r="E20">
        <f t="shared" si="1"/>
        <v>0.83333333333333326</v>
      </c>
    </row>
    <row r="21" spans="3:5" x14ac:dyDescent="0.2">
      <c r="C21">
        <v>6</v>
      </c>
      <c r="D21">
        <f t="shared" si="0"/>
        <v>0.16666666666666666</v>
      </c>
      <c r="E21">
        <f t="shared" si="1"/>
        <v>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956F-E8EF-41F6-ADF7-0F78E88D3CAE}">
  <dimension ref="B1:T41"/>
  <sheetViews>
    <sheetView tabSelected="1" zoomScale="115" zoomScaleNormal="115" workbookViewId="0">
      <selection activeCell="P16" sqref="B10:P16"/>
    </sheetView>
  </sheetViews>
  <sheetFormatPr defaultRowHeight="12.75" x14ac:dyDescent="0.2"/>
  <cols>
    <col min="9" max="9" width="12.5" bestFit="1" customWidth="1"/>
  </cols>
  <sheetData>
    <row r="1" spans="2:20" x14ac:dyDescent="0.2">
      <c r="B1" t="s">
        <v>2</v>
      </c>
      <c r="C1" t="s">
        <v>12</v>
      </c>
      <c r="D1" t="s">
        <v>1</v>
      </c>
      <c r="F1" t="s">
        <v>14</v>
      </c>
      <c r="G1" t="s">
        <v>5</v>
      </c>
      <c r="H1" t="s">
        <v>13</v>
      </c>
      <c r="I1" t="s">
        <v>15</v>
      </c>
      <c r="J1" s="1">
        <f>SUM(J2:J41)</f>
        <v>9999.7457162061201</v>
      </c>
      <c r="L1" t="s">
        <v>2</v>
      </c>
      <c r="M1" t="s">
        <v>3</v>
      </c>
      <c r="N1" t="s">
        <v>1</v>
      </c>
      <c r="P1" t="s">
        <v>14</v>
      </c>
      <c r="Q1" t="s">
        <v>5</v>
      </c>
      <c r="R1" t="s">
        <v>6</v>
      </c>
      <c r="S1" t="s">
        <v>15</v>
      </c>
      <c r="T1" s="1">
        <f>SUM(T2:T41)</f>
        <v>19999.489989604706</v>
      </c>
    </row>
    <row r="2" spans="2:20" x14ac:dyDescent="0.2">
      <c r="B2">
        <v>1</v>
      </c>
      <c r="C2">
        <v>1</v>
      </c>
      <c r="D2">
        <f t="shared" ref="D2:D41" si="0">MIN(B2,C2)</f>
        <v>1</v>
      </c>
      <c r="F2">
        <f>35000*D2</f>
        <v>35000</v>
      </c>
      <c r="G2">
        <f t="shared" ref="G2:G41" si="1">-25000*B2</f>
        <v>-25000</v>
      </c>
      <c r="H2">
        <f t="shared" ref="H2:H41" si="2">20^C2*EXP(-20)/FACT(C2)</f>
        <v>4.1223072448771159E-8</v>
      </c>
      <c r="I2">
        <f>F2+G2</f>
        <v>10000</v>
      </c>
      <c r="J2">
        <f>H2*I2</f>
        <v>4.1223072448771161E-4</v>
      </c>
      <c r="L2">
        <v>2</v>
      </c>
      <c r="M2">
        <v>1</v>
      </c>
      <c r="N2">
        <f t="shared" ref="N2:N41" si="3">MIN(L2,M2)</f>
        <v>1</v>
      </c>
      <c r="P2">
        <f>MIN(L2,M2)*35000</f>
        <v>35000</v>
      </c>
      <c r="Q2">
        <f t="shared" ref="Q2:Q41" si="4">-25000*L2</f>
        <v>-50000</v>
      </c>
      <c r="R2">
        <f t="shared" ref="R2:R41" si="5">20^M2*EXP(-20)/FACT(M2)</f>
        <v>4.1223072448771159E-8</v>
      </c>
      <c r="S2">
        <f>P2+Q2</f>
        <v>-15000</v>
      </c>
      <c r="T2">
        <f>R2*S2</f>
        <v>-6.1834608673156744E-4</v>
      </c>
    </row>
    <row r="3" spans="2:20" x14ac:dyDescent="0.2">
      <c r="B3">
        <v>1</v>
      </c>
      <c r="C3">
        <v>2</v>
      </c>
      <c r="D3">
        <f t="shared" si="0"/>
        <v>1</v>
      </c>
      <c r="F3">
        <f t="shared" ref="F3:F41" si="6">35000*D3</f>
        <v>35000</v>
      </c>
      <c r="G3">
        <f t="shared" si="1"/>
        <v>-25000</v>
      </c>
      <c r="H3">
        <f>20^C3*EXP(-20)/FACT(C3)</f>
        <v>4.1223072448771158E-7</v>
      </c>
      <c r="I3">
        <f t="shared" ref="I3:I41" si="7">F3+G3</f>
        <v>10000</v>
      </c>
      <c r="J3">
        <f t="shared" ref="J3:J41" si="8">H3*I3</f>
        <v>4.1223072448771155E-3</v>
      </c>
      <c r="L3">
        <v>2</v>
      </c>
      <c r="M3">
        <v>2</v>
      </c>
      <c r="N3">
        <f t="shared" si="3"/>
        <v>2</v>
      </c>
      <c r="P3">
        <f t="shared" ref="P3:P41" si="9">MIN(L3,M3)*35000</f>
        <v>70000</v>
      </c>
      <c r="Q3">
        <f t="shared" si="4"/>
        <v>-50000</v>
      </c>
      <c r="R3">
        <f t="shared" si="5"/>
        <v>4.1223072448771158E-7</v>
      </c>
      <c r="S3">
        <f t="shared" ref="S3:S41" si="10">P3+Q3</f>
        <v>20000</v>
      </c>
      <c r="T3">
        <f t="shared" ref="T3:T41" si="11">R3*S3</f>
        <v>8.244614489754231E-3</v>
      </c>
    </row>
    <row r="4" spans="2:20" x14ac:dyDescent="0.2">
      <c r="B4">
        <v>1</v>
      </c>
      <c r="C4">
        <v>3</v>
      </c>
      <c r="D4">
        <f t="shared" si="0"/>
        <v>1</v>
      </c>
      <c r="F4">
        <f t="shared" si="6"/>
        <v>35000</v>
      </c>
      <c r="G4">
        <f t="shared" si="1"/>
        <v>-25000</v>
      </c>
      <c r="H4">
        <f t="shared" si="2"/>
        <v>2.7482048299180773E-6</v>
      </c>
      <c r="I4">
        <f t="shared" si="7"/>
        <v>10000</v>
      </c>
      <c r="J4">
        <f t="shared" si="8"/>
        <v>2.7482048299180772E-2</v>
      </c>
      <c r="L4">
        <v>2</v>
      </c>
      <c r="M4">
        <v>3</v>
      </c>
      <c r="N4">
        <f t="shared" si="3"/>
        <v>2</v>
      </c>
      <c r="P4">
        <f t="shared" si="9"/>
        <v>70000</v>
      </c>
      <c r="Q4">
        <f t="shared" si="4"/>
        <v>-50000</v>
      </c>
      <c r="R4">
        <f t="shared" si="5"/>
        <v>2.7482048299180773E-6</v>
      </c>
      <c r="S4">
        <f t="shared" si="10"/>
        <v>20000</v>
      </c>
      <c r="T4">
        <f t="shared" si="11"/>
        <v>5.4964096598361545E-2</v>
      </c>
    </row>
    <row r="5" spans="2:20" x14ac:dyDescent="0.2">
      <c r="B5">
        <v>1</v>
      </c>
      <c r="C5">
        <v>4</v>
      </c>
      <c r="D5">
        <f t="shared" si="0"/>
        <v>1</v>
      </c>
      <c r="F5">
        <f t="shared" si="6"/>
        <v>35000</v>
      </c>
      <c r="G5">
        <f t="shared" si="1"/>
        <v>-25000</v>
      </c>
      <c r="H5">
        <f t="shared" si="2"/>
        <v>1.3741024149590386E-5</v>
      </c>
      <c r="I5">
        <f t="shared" si="7"/>
        <v>10000</v>
      </c>
      <c r="J5">
        <f t="shared" si="8"/>
        <v>0.13741024149590386</v>
      </c>
      <c r="L5">
        <v>2</v>
      </c>
      <c r="M5">
        <v>4</v>
      </c>
      <c r="N5">
        <f t="shared" si="3"/>
        <v>2</v>
      </c>
      <c r="P5">
        <f t="shared" si="9"/>
        <v>70000</v>
      </c>
      <c r="Q5">
        <f t="shared" si="4"/>
        <v>-50000</v>
      </c>
      <c r="R5">
        <f t="shared" si="5"/>
        <v>1.3741024149590386E-5</v>
      </c>
      <c r="S5">
        <f t="shared" si="10"/>
        <v>20000</v>
      </c>
      <c r="T5">
        <f t="shared" si="11"/>
        <v>0.27482048299180772</v>
      </c>
    </row>
    <row r="6" spans="2:20" x14ac:dyDescent="0.2">
      <c r="B6">
        <v>1</v>
      </c>
      <c r="C6">
        <v>5</v>
      </c>
      <c r="D6">
        <f t="shared" si="0"/>
        <v>1</v>
      </c>
      <c r="F6">
        <f t="shared" si="6"/>
        <v>35000</v>
      </c>
      <c r="G6">
        <f t="shared" si="1"/>
        <v>-25000</v>
      </c>
      <c r="H6">
        <f t="shared" si="2"/>
        <v>5.4964096598361543E-5</v>
      </c>
      <c r="I6">
        <f t="shared" si="7"/>
        <v>10000</v>
      </c>
      <c r="J6">
        <f t="shared" si="8"/>
        <v>0.54964096598361545</v>
      </c>
      <c r="L6">
        <v>2</v>
      </c>
      <c r="M6">
        <v>5</v>
      </c>
      <c r="N6">
        <f t="shared" si="3"/>
        <v>2</v>
      </c>
      <c r="P6">
        <f t="shared" si="9"/>
        <v>70000</v>
      </c>
      <c r="Q6">
        <f t="shared" si="4"/>
        <v>-50000</v>
      </c>
      <c r="R6">
        <f t="shared" si="5"/>
        <v>5.4964096598361543E-5</v>
      </c>
      <c r="S6">
        <f t="shared" si="10"/>
        <v>20000</v>
      </c>
      <c r="T6">
        <f t="shared" si="11"/>
        <v>1.0992819319672309</v>
      </c>
    </row>
    <row r="7" spans="2:20" x14ac:dyDescent="0.2">
      <c r="B7">
        <v>1</v>
      </c>
      <c r="C7">
        <v>6</v>
      </c>
      <c r="D7">
        <f t="shared" si="0"/>
        <v>1</v>
      </c>
      <c r="F7">
        <f t="shared" si="6"/>
        <v>35000</v>
      </c>
      <c r="G7">
        <f t="shared" si="1"/>
        <v>-25000</v>
      </c>
      <c r="H7">
        <f t="shared" si="2"/>
        <v>1.832136553278718E-4</v>
      </c>
      <c r="I7">
        <f t="shared" si="7"/>
        <v>10000</v>
      </c>
      <c r="J7">
        <f t="shared" si="8"/>
        <v>1.8321365532787179</v>
      </c>
      <c r="L7">
        <v>2</v>
      </c>
      <c r="M7">
        <v>6</v>
      </c>
      <c r="N7">
        <f t="shared" si="3"/>
        <v>2</v>
      </c>
      <c r="P7">
        <f t="shared" si="9"/>
        <v>70000</v>
      </c>
      <c r="Q7">
        <f t="shared" si="4"/>
        <v>-50000</v>
      </c>
      <c r="R7">
        <f t="shared" si="5"/>
        <v>1.832136553278718E-4</v>
      </c>
      <c r="S7">
        <f t="shared" si="10"/>
        <v>20000</v>
      </c>
      <c r="T7">
        <f t="shared" si="11"/>
        <v>3.6642731065574359</v>
      </c>
    </row>
    <row r="8" spans="2:20" x14ac:dyDescent="0.2">
      <c r="B8">
        <v>1</v>
      </c>
      <c r="C8">
        <v>7</v>
      </c>
      <c r="D8">
        <f t="shared" si="0"/>
        <v>1</v>
      </c>
      <c r="F8">
        <f t="shared" si="6"/>
        <v>35000</v>
      </c>
      <c r="G8">
        <f t="shared" si="1"/>
        <v>-25000</v>
      </c>
      <c r="H8">
        <f t="shared" si="2"/>
        <v>5.2346758665106237E-4</v>
      </c>
      <c r="I8">
        <f t="shared" si="7"/>
        <v>10000</v>
      </c>
      <c r="J8">
        <f t="shared" si="8"/>
        <v>5.2346758665106234</v>
      </c>
      <c r="L8">
        <v>2</v>
      </c>
      <c r="M8">
        <v>7</v>
      </c>
      <c r="N8">
        <f t="shared" si="3"/>
        <v>2</v>
      </c>
      <c r="P8">
        <f t="shared" si="9"/>
        <v>70000</v>
      </c>
      <c r="Q8">
        <f t="shared" si="4"/>
        <v>-50000</v>
      </c>
      <c r="R8">
        <f t="shared" si="5"/>
        <v>5.2346758665106237E-4</v>
      </c>
      <c r="S8">
        <f t="shared" si="10"/>
        <v>20000</v>
      </c>
      <c r="T8">
        <f t="shared" si="11"/>
        <v>10.469351733021247</v>
      </c>
    </row>
    <row r="9" spans="2:20" x14ac:dyDescent="0.2">
      <c r="B9">
        <v>1</v>
      </c>
      <c r="C9">
        <v>8</v>
      </c>
      <c r="D9">
        <f t="shared" si="0"/>
        <v>1</v>
      </c>
      <c r="F9">
        <f t="shared" si="6"/>
        <v>35000</v>
      </c>
      <c r="G9">
        <f t="shared" si="1"/>
        <v>-25000</v>
      </c>
      <c r="H9">
        <f t="shared" si="2"/>
        <v>1.3086689666276558E-3</v>
      </c>
      <c r="I9">
        <f t="shared" si="7"/>
        <v>10000</v>
      </c>
      <c r="J9">
        <f t="shared" si="8"/>
        <v>13.086689666276557</v>
      </c>
      <c r="L9">
        <v>2</v>
      </c>
      <c r="M9">
        <v>8</v>
      </c>
      <c r="N9">
        <f t="shared" si="3"/>
        <v>2</v>
      </c>
      <c r="P9">
        <f t="shared" si="9"/>
        <v>70000</v>
      </c>
      <c r="Q9">
        <f t="shared" si="4"/>
        <v>-50000</v>
      </c>
      <c r="R9">
        <f t="shared" si="5"/>
        <v>1.3086689666276558E-3</v>
      </c>
      <c r="S9">
        <f t="shared" si="10"/>
        <v>20000</v>
      </c>
      <c r="T9">
        <f t="shared" si="11"/>
        <v>26.173379332553115</v>
      </c>
    </row>
    <row r="10" spans="2:20" x14ac:dyDescent="0.2">
      <c r="B10">
        <v>1</v>
      </c>
      <c r="C10">
        <v>9</v>
      </c>
      <c r="D10">
        <f t="shared" si="0"/>
        <v>1</v>
      </c>
      <c r="F10">
        <f t="shared" si="6"/>
        <v>35000</v>
      </c>
      <c r="G10">
        <f t="shared" si="1"/>
        <v>-25000</v>
      </c>
      <c r="H10">
        <f t="shared" si="2"/>
        <v>2.9081532591725685E-3</v>
      </c>
      <c r="I10">
        <f t="shared" si="7"/>
        <v>10000</v>
      </c>
      <c r="J10">
        <f t="shared" si="8"/>
        <v>29.081532591725686</v>
      </c>
      <c r="L10">
        <v>2</v>
      </c>
      <c r="M10">
        <v>9</v>
      </c>
      <c r="N10">
        <f t="shared" si="3"/>
        <v>2</v>
      </c>
      <c r="P10">
        <f t="shared" si="9"/>
        <v>70000</v>
      </c>
      <c r="Q10">
        <f t="shared" si="4"/>
        <v>-50000</v>
      </c>
      <c r="R10">
        <f t="shared" si="5"/>
        <v>2.9081532591725685E-3</v>
      </c>
      <c r="S10">
        <f t="shared" si="10"/>
        <v>20000</v>
      </c>
      <c r="T10">
        <f t="shared" si="11"/>
        <v>58.163065183451373</v>
      </c>
    </row>
    <row r="11" spans="2:20" x14ac:dyDescent="0.2">
      <c r="B11">
        <v>1</v>
      </c>
      <c r="C11">
        <v>10</v>
      </c>
      <c r="D11">
        <f t="shared" si="0"/>
        <v>1</v>
      </c>
      <c r="F11">
        <f t="shared" si="6"/>
        <v>35000</v>
      </c>
      <c r="G11">
        <f t="shared" si="1"/>
        <v>-25000</v>
      </c>
      <c r="H11">
        <f t="shared" si="2"/>
        <v>5.8163065183451362E-3</v>
      </c>
      <c r="I11">
        <f t="shared" si="7"/>
        <v>10000</v>
      </c>
      <c r="J11">
        <f t="shared" si="8"/>
        <v>58.163065183451359</v>
      </c>
      <c r="L11">
        <v>2</v>
      </c>
      <c r="M11">
        <v>10</v>
      </c>
      <c r="N11">
        <f t="shared" si="3"/>
        <v>2</v>
      </c>
      <c r="P11">
        <f t="shared" si="9"/>
        <v>70000</v>
      </c>
      <c r="Q11">
        <f t="shared" si="4"/>
        <v>-50000</v>
      </c>
      <c r="R11">
        <f t="shared" si="5"/>
        <v>5.8163065183451362E-3</v>
      </c>
      <c r="S11">
        <f t="shared" si="10"/>
        <v>20000</v>
      </c>
      <c r="T11">
        <f t="shared" si="11"/>
        <v>116.32613036690272</v>
      </c>
    </row>
    <row r="12" spans="2:20" x14ac:dyDescent="0.2">
      <c r="B12">
        <v>1</v>
      </c>
      <c r="C12">
        <v>11</v>
      </c>
      <c r="D12">
        <f t="shared" si="0"/>
        <v>1</v>
      </c>
      <c r="F12">
        <f t="shared" si="6"/>
        <v>35000</v>
      </c>
      <c r="G12">
        <f t="shared" si="1"/>
        <v>-25000</v>
      </c>
      <c r="H12">
        <f t="shared" si="2"/>
        <v>1.0575102760627522E-2</v>
      </c>
      <c r="I12">
        <f t="shared" si="7"/>
        <v>10000</v>
      </c>
      <c r="J12">
        <f t="shared" si="8"/>
        <v>105.75102760627522</v>
      </c>
      <c r="L12">
        <v>2</v>
      </c>
      <c r="M12">
        <v>11</v>
      </c>
      <c r="N12">
        <f t="shared" si="3"/>
        <v>2</v>
      </c>
      <c r="P12">
        <f t="shared" si="9"/>
        <v>70000</v>
      </c>
      <c r="Q12">
        <f t="shared" si="4"/>
        <v>-50000</v>
      </c>
      <c r="R12">
        <f t="shared" si="5"/>
        <v>1.0575102760627522E-2</v>
      </c>
      <c r="S12">
        <f t="shared" si="10"/>
        <v>20000</v>
      </c>
      <c r="T12">
        <f t="shared" si="11"/>
        <v>211.50205521255043</v>
      </c>
    </row>
    <row r="13" spans="2:20" x14ac:dyDescent="0.2">
      <c r="B13">
        <v>1</v>
      </c>
      <c r="C13">
        <v>12</v>
      </c>
      <c r="D13">
        <f t="shared" si="0"/>
        <v>1</v>
      </c>
      <c r="F13">
        <f t="shared" si="6"/>
        <v>35000</v>
      </c>
      <c r="G13">
        <f t="shared" si="1"/>
        <v>-25000</v>
      </c>
      <c r="H13">
        <f t="shared" si="2"/>
        <v>1.7625171267712535E-2</v>
      </c>
      <c r="I13">
        <f t="shared" si="7"/>
        <v>10000</v>
      </c>
      <c r="J13">
        <f t="shared" si="8"/>
        <v>176.25171267712534</v>
      </c>
      <c r="L13">
        <v>2</v>
      </c>
      <c r="M13">
        <v>12</v>
      </c>
      <c r="N13">
        <f t="shared" si="3"/>
        <v>2</v>
      </c>
      <c r="P13">
        <f t="shared" si="9"/>
        <v>70000</v>
      </c>
      <c r="Q13">
        <f t="shared" si="4"/>
        <v>-50000</v>
      </c>
      <c r="R13">
        <f t="shared" si="5"/>
        <v>1.7625171267712535E-2</v>
      </c>
      <c r="S13">
        <f t="shared" si="10"/>
        <v>20000</v>
      </c>
      <c r="T13">
        <f t="shared" si="11"/>
        <v>352.50342535425068</v>
      </c>
    </row>
    <row r="14" spans="2:20" x14ac:dyDescent="0.2">
      <c r="B14">
        <v>1</v>
      </c>
      <c r="C14">
        <v>13</v>
      </c>
      <c r="D14">
        <f t="shared" si="0"/>
        <v>1</v>
      </c>
      <c r="F14">
        <f t="shared" si="6"/>
        <v>35000</v>
      </c>
      <c r="G14">
        <f t="shared" si="1"/>
        <v>-25000</v>
      </c>
      <c r="H14">
        <f t="shared" si="2"/>
        <v>2.7115648104173131E-2</v>
      </c>
      <c r="I14">
        <f t="shared" si="7"/>
        <v>10000</v>
      </c>
      <c r="J14">
        <f t="shared" si="8"/>
        <v>271.1564810417313</v>
      </c>
      <c r="L14">
        <v>2</v>
      </c>
      <c r="M14">
        <v>13</v>
      </c>
      <c r="N14">
        <f t="shared" si="3"/>
        <v>2</v>
      </c>
      <c r="P14">
        <f t="shared" si="9"/>
        <v>70000</v>
      </c>
      <c r="Q14">
        <f t="shared" si="4"/>
        <v>-50000</v>
      </c>
      <c r="R14">
        <f t="shared" si="5"/>
        <v>2.7115648104173131E-2</v>
      </c>
      <c r="S14">
        <f t="shared" si="10"/>
        <v>20000</v>
      </c>
      <c r="T14">
        <f t="shared" si="11"/>
        <v>542.31296208346259</v>
      </c>
    </row>
    <row r="15" spans="2:20" x14ac:dyDescent="0.2">
      <c r="B15">
        <v>1</v>
      </c>
      <c r="C15">
        <v>14</v>
      </c>
      <c r="D15">
        <f t="shared" si="0"/>
        <v>1</v>
      </c>
      <c r="F15">
        <f t="shared" si="6"/>
        <v>35000</v>
      </c>
      <c r="G15">
        <f t="shared" si="1"/>
        <v>-25000</v>
      </c>
      <c r="H15">
        <f t="shared" si="2"/>
        <v>3.8736640148818759E-2</v>
      </c>
      <c r="I15">
        <f t="shared" si="7"/>
        <v>10000</v>
      </c>
      <c r="J15">
        <f t="shared" si="8"/>
        <v>387.36640148818759</v>
      </c>
      <c r="L15">
        <v>2</v>
      </c>
      <c r="M15">
        <v>14</v>
      </c>
      <c r="N15">
        <f t="shared" si="3"/>
        <v>2</v>
      </c>
      <c r="P15">
        <f t="shared" si="9"/>
        <v>70000</v>
      </c>
      <c r="Q15">
        <f t="shared" si="4"/>
        <v>-50000</v>
      </c>
      <c r="R15">
        <f t="shared" si="5"/>
        <v>3.8736640148818759E-2</v>
      </c>
      <c r="S15">
        <f t="shared" si="10"/>
        <v>20000</v>
      </c>
      <c r="T15">
        <f t="shared" si="11"/>
        <v>774.73280297637518</v>
      </c>
    </row>
    <row r="16" spans="2:20" x14ac:dyDescent="0.2">
      <c r="B16">
        <v>1</v>
      </c>
      <c r="C16">
        <v>15</v>
      </c>
      <c r="D16">
        <f t="shared" si="0"/>
        <v>1</v>
      </c>
      <c r="F16">
        <f t="shared" si="6"/>
        <v>35000</v>
      </c>
      <c r="G16">
        <f t="shared" si="1"/>
        <v>-25000</v>
      </c>
      <c r="H16">
        <f t="shared" si="2"/>
        <v>5.1648853531758347E-2</v>
      </c>
      <c r="I16">
        <f t="shared" si="7"/>
        <v>10000</v>
      </c>
      <c r="J16">
        <f t="shared" si="8"/>
        <v>516.48853531758346</v>
      </c>
      <c r="L16">
        <v>2</v>
      </c>
      <c r="M16">
        <v>15</v>
      </c>
      <c r="N16">
        <f t="shared" si="3"/>
        <v>2</v>
      </c>
      <c r="P16">
        <f t="shared" si="9"/>
        <v>70000</v>
      </c>
      <c r="Q16">
        <f t="shared" si="4"/>
        <v>-50000</v>
      </c>
      <c r="R16">
        <f t="shared" si="5"/>
        <v>5.1648853531758347E-2</v>
      </c>
      <c r="S16">
        <f t="shared" si="10"/>
        <v>20000</v>
      </c>
      <c r="T16">
        <f t="shared" si="11"/>
        <v>1032.9770706351669</v>
      </c>
    </row>
    <row r="17" spans="2:20" x14ac:dyDescent="0.2">
      <c r="B17">
        <v>1</v>
      </c>
      <c r="C17">
        <v>16</v>
      </c>
      <c r="D17">
        <f t="shared" si="0"/>
        <v>1</v>
      </c>
      <c r="F17">
        <f t="shared" si="6"/>
        <v>35000</v>
      </c>
      <c r="G17">
        <f t="shared" si="1"/>
        <v>-25000</v>
      </c>
      <c r="H17">
        <f t="shared" si="2"/>
        <v>6.4561066914697929E-2</v>
      </c>
      <c r="I17">
        <f t="shared" si="7"/>
        <v>10000</v>
      </c>
      <c r="J17">
        <f t="shared" si="8"/>
        <v>645.61066914697926</v>
      </c>
      <c r="L17">
        <v>2</v>
      </c>
      <c r="M17">
        <v>16</v>
      </c>
      <c r="N17">
        <f t="shared" si="3"/>
        <v>2</v>
      </c>
      <c r="P17">
        <f t="shared" si="9"/>
        <v>70000</v>
      </c>
      <c r="Q17">
        <f t="shared" si="4"/>
        <v>-50000</v>
      </c>
      <c r="R17">
        <f t="shared" si="5"/>
        <v>6.4561066914697929E-2</v>
      </c>
      <c r="S17">
        <f t="shared" si="10"/>
        <v>20000</v>
      </c>
      <c r="T17">
        <f t="shared" si="11"/>
        <v>1291.2213382939585</v>
      </c>
    </row>
    <row r="18" spans="2:20" x14ac:dyDescent="0.2">
      <c r="B18">
        <v>1</v>
      </c>
      <c r="C18">
        <v>17</v>
      </c>
      <c r="D18">
        <f t="shared" si="0"/>
        <v>1</v>
      </c>
      <c r="F18">
        <f t="shared" si="6"/>
        <v>35000</v>
      </c>
      <c r="G18">
        <f t="shared" si="1"/>
        <v>-25000</v>
      </c>
      <c r="H18">
        <f t="shared" si="2"/>
        <v>7.595419637023286E-2</v>
      </c>
      <c r="I18">
        <f t="shared" si="7"/>
        <v>10000</v>
      </c>
      <c r="J18">
        <f t="shared" si="8"/>
        <v>759.54196370232864</v>
      </c>
      <c r="L18">
        <v>2</v>
      </c>
      <c r="M18">
        <v>17</v>
      </c>
      <c r="N18">
        <f t="shared" si="3"/>
        <v>2</v>
      </c>
      <c r="P18">
        <f t="shared" si="9"/>
        <v>70000</v>
      </c>
      <c r="Q18">
        <f t="shared" si="4"/>
        <v>-50000</v>
      </c>
      <c r="R18">
        <f t="shared" si="5"/>
        <v>7.595419637023286E-2</v>
      </c>
      <c r="S18">
        <f t="shared" si="10"/>
        <v>20000</v>
      </c>
      <c r="T18">
        <f t="shared" si="11"/>
        <v>1519.0839274046573</v>
      </c>
    </row>
    <row r="19" spans="2:20" x14ac:dyDescent="0.2">
      <c r="B19">
        <v>1</v>
      </c>
      <c r="C19">
        <v>18</v>
      </c>
      <c r="D19">
        <f t="shared" si="0"/>
        <v>1</v>
      </c>
      <c r="F19">
        <f t="shared" si="6"/>
        <v>35000</v>
      </c>
      <c r="G19">
        <f t="shared" si="1"/>
        <v>-25000</v>
      </c>
      <c r="H19">
        <f t="shared" si="2"/>
        <v>8.4393551522480958E-2</v>
      </c>
      <c r="I19">
        <f t="shared" si="7"/>
        <v>10000</v>
      </c>
      <c r="J19">
        <f t="shared" si="8"/>
        <v>843.93551522480959</v>
      </c>
      <c r="L19">
        <v>2</v>
      </c>
      <c r="M19">
        <v>18</v>
      </c>
      <c r="N19">
        <f t="shared" si="3"/>
        <v>2</v>
      </c>
      <c r="P19">
        <f t="shared" si="9"/>
        <v>70000</v>
      </c>
      <c r="Q19">
        <f t="shared" si="4"/>
        <v>-50000</v>
      </c>
      <c r="R19">
        <f t="shared" si="5"/>
        <v>8.4393551522480958E-2</v>
      </c>
      <c r="S19">
        <f t="shared" si="10"/>
        <v>20000</v>
      </c>
      <c r="T19">
        <f t="shared" si="11"/>
        <v>1687.8710304496192</v>
      </c>
    </row>
    <row r="20" spans="2:20" x14ac:dyDescent="0.2">
      <c r="B20">
        <v>1</v>
      </c>
      <c r="C20">
        <v>19</v>
      </c>
      <c r="D20">
        <f t="shared" si="0"/>
        <v>1</v>
      </c>
      <c r="F20">
        <f t="shared" si="6"/>
        <v>35000</v>
      </c>
      <c r="G20">
        <f t="shared" si="1"/>
        <v>-25000</v>
      </c>
      <c r="H20">
        <f t="shared" si="2"/>
        <v>8.8835317392085222E-2</v>
      </c>
      <c r="I20">
        <f t="shared" si="7"/>
        <v>10000</v>
      </c>
      <c r="J20">
        <f t="shared" si="8"/>
        <v>888.35317392085221</v>
      </c>
      <c r="L20">
        <v>2</v>
      </c>
      <c r="M20">
        <v>19</v>
      </c>
      <c r="N20">
        <f t="shared" si="3"/>
        <v>2</v>
      </c>
      <c r="P20">
        <f t="shared" si="9"/>
        <v>70000</v>
      </c>
      <c r="Q20">
        <f t="shared" si="4"/>
        <v>-50000</v>
      </c>
      <c r="R20">
        <f t="shared" si="5"/>
        <v>8.8835317392085222E-2</v>
      </c>
      <c r="S20">
        <f t="shared" si="10"/>
        <v>20000</v>
      </c>
      <c r="T20">
        <f t="shared" si="11"/>
        <v>1776.7063478417044</v>
      </c>
    </row>
    <row r="21" spans="2:20" x14ac:dyDescent="0.2">
      <c r="B21">
        <v>1</v>
      </c>
      <c r="C21">
        <v>20</v>
      </c>
      <c r="D21">
        <f t="shared" si="0"/>
        <v>1</v>
      </c>
      <c r="F21">
        <f t="shared" si="6"/>
        <v>35000</v>
      </c>
      <c r="G21">
        <f t="shared" si="1"/>
        <v>-25000</v>
      </c>
      <c r="H21">
        <f t="shared" si="2"/>
        <v>8.8835317392085208E-2</v>
      </c>
      <c r="I21">
        <f t="shared" si="7"/>
        <v>10000</v>
      </c>
      <c r="J21">
        <f t="shared" si="8"/>
        <v>888.3531739208521</v>
      </c>
      <c r="L21">
        <v>2</v>
      </c>
      <c r="M21">
        <v>20</v>
      </c>
      <c r="N21">
        <f t="shared" si="3"/>
        <v>2</v>
      </c>
      <c r="P21">
        <f t="shared" si="9"/>
        <v>70000</v>
      </c>
      <c r="Q21">
        <f t="shared" si="4"/>
        <v>-50000</v>
      </c>
      <c r="R21">
        <f t="shared" si="5"/>
        <v>8.8835317392085208E-2</v>
      </c>
      <c r="S21">
        <f t="shared" si="10"/>
        <v>20000</v>
      </c>
      <c r="T21">
        <f t="shared" si="11"/>
        <v>1776.7063478417042</v>
      </c>
    </row>
    <row r="22" spans="2:20" x14ac:dyDescent="0.2">
      <c r="B22">
        <v>1</v>
      </c>
      <c r="C22">
        <v>21</v>
      </c>
      <c r="D22">
        <f t="shared" si="0"/>
        <v>1</v>
      </c>
      <c r="F22">
        <f t="shared" si="6"/>
        <v>35000</v>
      </c>
      <c r="G22">
        <f t="shared" si="1"/>
        <v>-25000</v>
      </c>
      <c r="H22">
        <f t="shared" si="2"/>
        <v>8.4605064182938311E-2</v>
      </c>
      <c r="I22">
        <f t="shared" si="7"/>
        <v>10000</v>
      </c>
      <c r="J22">
        <f t="shared" si="8"/>
        <v>846.05064182938315</v>
      </c>
      <c r="L22">
        <v>2</v>
      </c>
      <c r="M22">
        <v>21</v>
      </c>
      <c r="N22">
        <f t="shared" si="3"/>
        <v>2</v>
      </c>
      <c r="P22">
        <f t="shared" si="9"/>
        <v>70000</v>
      </c>
      <c r="Q22">
        <f t="shared" si="4"/>
        <v>-50000</v>
      </c>
      <c r="R22">
        <f t="shared" si="5"/>
        <v>8.4605064182938311E-2</v>
      </c>
      <c r="S22">
        <f t="shared" si="10"/>
        <v>20000</v>
      </c>
      <c r="T22">
        <f t="shared" si="11"/>
        <v>1692.1012836587663</v>
      </c>
    </row>
    <row r="23" spans="2:20" x14ac:dyDescent="0.2">
      <c r="B23">
        <v>1</v>
      </c>
      <c r="C23">
        <v>22</v>
      </c>
      <c r="D23">
        <f t="shared" si="0"/>
        <v>1</v>
      </c>
      <c r="F23">
        <f t="shared" si="6"/>
        <v>35000</v>
      </c>
      <c r="G23">
        <f t="shared" si="1"/>
        <v>-25000</v>
      </c>
      <c r="H23">
        <f t="shared" si="2"/>
        <v>7.6913694711762098E-2</v>
      </c>
      <c r="I23">
        <f t="shared" si="7"/>
        <v>10000</v>
      </c>
      <c r="J23">
        <f t="shared" si="8"/>
        <v>769.13694711762093</v>
      </c>
      <c r="L23">
        <v>2</v>
      </c>
      <c r="M23">
        <v>22</v>
      </c>
      <c r="N23">
        <f t="shared" si="3"/>
        <v>2</v>
      </c>
      <c r="P23">
        <f t="shared" si="9"/>
        <v>70000</v>
      </c>
      <c r="Q23">
        <f t="shared" si="4"/>
        <v>-50000</v>
      </c>
      <c r="R23">
        <f t="shared" si="5"/>
        <v>7.6913694711762098E-2</v>
      </c>
      <c r="S23">
        <f t="shared" si="10"/>
        <v>20000</v>
      </c>
      <c r="T23">
        <f t="shared" si="11"/>
        <v>1538.2738942352419</v>
      </c>
    </row>
    <row r="24" spans="2:20" x14ac:dyDescent="0.2">
      <c r="B24">
        <v>1</v>
      </c>
      <c r="C24">
        <v>23</v>
      </c>
      <c r="D24">
        <f t="shared" si="0"/>
        <v>1</v>
      </c>
      <c r="F24">
        <f t="shared" si="6"/>
        <v>35000</v>
      </c>
      <c r="G24">
        <f t="shared" si="1"/>
        <v>-25000</v>
      </c>
      <c r="H24">
        <f t="shared" si="2"/>
        <v>6.6881473662401811E-2</v>
      </c>
      <c r="I24">
        <f t="shared" si="7"/>
        <v>10000</v>
      </c>
      <c r="J24">
        <f t="shared" si="8"/>
        <v>668.81473662401811</v>
      </c>
      <c r="L24">
        <v>2</v>
      </c>
      <c r="M24">
        <v>23</v>
      </c>
      <c r="N24">
        <f t="shared" si="3"/>
        <v>2</v>
      </c>
      <c r="P24">
        <f t="shared" si="9"/>
        <v>70000</v>
      </c>
      <c r="Q24">
        <f t="shared" si="4"/>
        <v>-50000</v>
      </c>
      <c r="R24">
        <f t="shared" si="5"/>
        <v>6.6881473662401811E-2</v>
      </c>
      <c r="S24">
        <f t="shared" si="10"/>
        <v>20000</v>
      </c>
      <c r="T24">
        <f t="shared" si="11"/>
        <v>1337.6294732480362</v>
      </c>
    </row>
    <row r="25" spans="2:20" x14ac:dyDescent="0.2">
      <c r="B25">
        <v>1</v>
      </c>
      <c r="C25">
        <v>24</v>
      </c>
      <c r="D25">
        <f t="shared" si="0"/>
        <v>1</v>
      </c>
      <c r="F25">
        <f t="shared" si="6"/>
        <v>35000</v>
      </c>
      <c r="G25">
        <f t="shared" si="1"/>
        <v>-25000</v>
      </c>
      <c r="H25">
        <f t="shared" si="2"/>
        <v>5.5734561385334849E-2</v>
      </c>
      <c r="I25">
        <f t="shared" si="7"/>
        <v>10000</v>
      </c>
      <c r="J25">
        <f t="shared" si="8"/>
        <v>557.34561385334848</v>
      </c>
      <c r="L25">
        <v>2</v>
      </c>
      <c r="M25">
        <v>24</v>
      </c>
      <c r="N25">
        <f t="shared" si="3"/>
        <v>2</v>
      </c>
      <c r="P25">
        <f t="shared" si="9"/>
        <v>70000</v>
      </c>
      <c r="Q25">
        <f t="shared" si="4"/>
        <v>-50000</v>
      </c>
      <c r="R25">
        <f t="shared" si="5"/>
        <v>5.5734561385334849E-2</v>
      </c>
      <c r="S25">
        <f t="shared" si="10"/>
        <v>20000</v>
      </c>
      <c r="T25">
        <f t="shared" si="11"/>
        <v>1114.691227706697</v>
      </c>
    </row>
    <row r="26" spans="2:20" x14ac:dyDescent="0.2">
      <c r="B26">
        <v>1</v>
      </c>
      <c r="C26">
        <v>25</v>
      </c>
      <c r="D26">
        <f t="shared" si="0"/>
        <v>1</v>
      </c>
      <c r="F26">
        <f t="shared" si="6"/>
        <v>35000</v>
      </c>
      <c r="G26">
        <f t="shared" si="1"/>
        <v>-25000</v>
      </c>
      <c r="H26">
        <f t="shared" si="2"/>
        <v>4.4587649108267888E-2</v>
      </c>
      <c r="I26">
        <f t="shared" si="7"/>
        <v>10000</v>
      </c>
      <c r="J26">
        <f t="shared" si="8"/>
        <v>445.87649108267885</v>
      </c>
      <c r="L26">
        <v>2</v>
      </c>
      <c r="M26">
        <v>25</v>
      </c>
      <c r="N26">
        <f t="shared" si="3"/>
        <v>2</v>
      </c>
      <c r="P26">
        <f t="shared" si="9"/>
        <v>70000</v>
      </c>
      <c r="Q26">
        <f t="shared" si="4"/>
        <v>-50000</v>
      </c>
      <c r="R26">
        <f t="shared" si="5"/>
        <v>4.4587649108267888E-2</v>
      </c>
      <c r="S26">
        <f t="shared" si="10"/>
        <v>20000</v>
      </c>
      <c r="T26">
        <f t="shared" si="11"/>
        <v>891.75298216535771</v>
      </c>
    </row>
    <row r="27" spans="2:20" x14ac:dyDescent="0.2">
      <c r="B27">
        <v>1</v>
      </c>
      <c r="C27">
        <v>26</v>
      </c>
      <c r="D27">
        <f t="shared" si="0"/>
        <v>1</v>
      </c>
      <c r="F27">
        <f t="shared" si="6"/>
        <v>35000</v>
      </c>
      <c r="G27">
        <f t="shared" si="1"/>
        <v>-25000</v>
      </c>
      <c r="H27">
        <f t="shared" si="2"/>
        <v>3.4298191621744523E-2</v>
      </c>
      <c r="I27">
        <f t="shared" si="7"/>
        <v>10000</v>
      </c>
      <c r="J27">
        <f t="shared" si="8"/>
        <v>342.98191621744525</v>
      </c>
      <c r="L27">
        <v>2</v>
      </c>
      <c r="M27">
        <v>26</v>
      </c>
      <c r="N27">
        <f t="shared" si="3"/>
        <v>2</v>
      </c>
      <c r="P27">
        <f t="shared" si="9"/>
        <v>70000</v>
      </c>
      <c r="Q27">
        <f t="shared" si="4"/>
        <v>-50000</v>
      </c>
      <c r="R27">
        <f t="shared" si="5"/>
        <v>3.4298191621744523E-2</v>
      </c>
      <c r="S27">
        <f t="shared" si="10"/>
        <v>20000</v>
      </c>
      <c r="T27">
        <f t="shared" si="11"/>
        <v>685.96383243489049</v>
      </c>
    </row>
    <row r="28" spans="2:20" x14ac:dyDescent="0.2">
      <c r="B28">
        <v>1</v>
      </c>
      <c r="C28">
        <v>27</v>
      </c>
      <c r="D28">
        <f t="shared" si="0"/>
        <v>1</v>
      </c>
      <c r="F28">
        <f t="shared" si="6"/>
        <v>35000</v>
      </c>
      <c r="G28">
        <f t="shared" si="1"/>
        <v>-25000</v>
      </c>
      <c r="H28">
        <f t="shared" si="2"/>
        <v>2.5406067867958907E-2</v>
      </c>
      <c r="I28">
        <f t="shared" si="7"/>
        <v>10000</v>
      </c>
      <c r="J28">
        <f t="shared" si="8"/>
        <v>254.06067867958907</v>
      </c>
      <c r="L28">
        <v>2</v>
      </c>
      <c r="M28">
        <v>27</v>
      </c>
      <c r="N28">
        <f t="shared" si="3"/>
        <v>2</v>
      </c>
      <c r="P28">
        <f t="shared" si="9"/>
        <v>70000</v>
      </c>
      <c r="Q28">
        <f t="shared" si="4"/>
        <v>-50000</v>
      </c>
      <c r="R28">
        <f t="shared" si="5"/>
        <v>2.5406067867958907E-2</v>
      </c>
      <c r="S28">
        <f t="shared" si="10"/>
        <v>20000</v>
      </c>
      <c r="T28">
        <f t="shared" si="11"/>
        <v>508.12135735917815</v>
      </c>
    </row>
    <row r="29" spans="2:20" x14ac:dyDescent="0.2">
      <c r="B29">
        <v>1</v>
      </c>
      <c r="C29">
        <v>28</v>
      </c>
      <c r="D29">
        <f t="shared" si="0"/>
        <v>1</v>
      </c>
      <c r="F29">
        <f t="shared" si="6"/>
        <v>35000</v>
      </c>
      <c r="G29">
        <f t="shared" si="1"/>
        <v>-25000</v>
      </c>
      <c r="H29">
        <f t="shared" si="2"/>
        <v>1.8147191334256366E-2</v>
      </c>
      <c r="I29">
        <f t="shared" si="7"/>
        <v>10000</v>
      </c>
      <c r="J29">
        <f t="shared" si="8"/>
        <v>181.47191334256365</v>
      </c>
      <c r="L29">
        <v>2</v>
      </c>
      <c r="M29">
        <v>28</v>
      </c>
      <c r="N29">
        <f t="shared" si="3"/>
        <v>2</v>
      </c>
      <c r="P29">
        <f t="shared" si="9"/>
        <v>70000</v>
      </c>
      <c r="Q29">
        <f t="shared" si="4"/>
        <v>-50000</v>
      </c>
      <c r="R29">
        <f t="shared" si="5"/>
        <v>1.8147191334256366E-2</v>
      </c>
      <c r="S29">
        <f t="shared" si="10"/>
        <v>20000</v>
      </c>
      <c r="T29">
        <f t="shared" si="11"/>
        <v>362.94382668512731</v>
      </c>
    </row>
    <row r="30" spans="2:20" x14ac:dyDescent="0.2">
      <c r="B30">
        <v>1</v>
      </c>
      <c r="C30">
        <v>29</v>
      </c>
      <c r="D30">
        <f t="shared" si="0"/>
        <v>1</v>
      </c>
      <c r="F30">
        <f t="shared" si="6"/>
        <v>35000</v>
      </c>
      <c r="G30">
        <f t="shared" si="1"/>
        <v>-25000</v>
      </c>
      <c r="H30">
        <f t="shared" si="2"/>
        <v>1.2515304368452664E-2</v>
      </c>
      <c r="I30">
        <f t="shared" si="7"/>
        <v>10000</v>
      </c>
      <c r="J30">
        <f t="shared" si="8"/>
        <v>125.15304368452664</v>
      </c>
      <c r="L30">
        <v>2</v>
      </c>
      <c r="M30">
        <v>29</v>
      </c>
      <c r="N30">
        <f t="shared" si="3"/>
        <v>2</v>
      </c>
      <c r="P30">
        <f t="shared" si="9"/>
        <v>70000</v>
      </c>
      <c r="Q30">
        <f t="shared" si="4"/>
        <v>-50000</v>
      </c>
      <c r="R30">
        <f t="shared" si="5"/>
        <v>1.2515304368452664E-2</v>
      </c>
      <c r="S30">
        <f t="shared" si="10"/>
        <v>20000</v>
      </c>
      <c r="T30">
        <f t="shared" si="11"/>
        <v>250.30608736905327</v>
      </c>
    </row>
    <row r="31" spans="2:20" x14ac:dyDescent="0.2">
      <c r="B31">
        <v>1</v>
      </c>
      <c r="C31">
        <v>30</v>
      </c>
      <c r="D31">
        <f t="shared" si="0"/>
        <v>1</v>
      </c>
      <c r="F31">
        <f t="shared" si="6"/>
        <v>35000</v>
      </c>
      <c r="G31">
        <f t="shared" si="1"/>
        <v>-25000</v>
      </c>
      <c r="H31">
        <f t="shared" si="2"/>
        <v>8.3435362456351081E-3</v>
      </c>
      <c r="I31">
        <f t="shared" si="7"/>
        <v>10000</v>
      </c>
      <c r="J31">
        <f t="shared" si="8"/>
        <v>83.435362456351086</v>
      </c>
      <c r="L31">
        <v>2</v>
      </c>
      <c r="M31">
        <v>30</v>
      </c>
      <c r="N31">
        <f t="shared" si="3"/>
        <v>2</v>
      </c>
      <c r="P31">
        <f t="shared" si="9"/>
        <v>70000</v>
      </c>
      <c r="Q31">
        <f t="shared" si="4"/>
        <v>-50000</v>
      </c>
      <c r="R31">
        <f t="shared" si="5"/>
        <v>8.3435362456351081E-3</v>
      </c>
      <c r="S31">
        <f t="shared" si="10"/>
        <v>20000</v>
      </c>
      <c r="T31">
        <f t="shared" si="11"/>
        <v>166.87072491270217</v>
      </c>
    </row>
    <row r="32" spans="2:20" x14ac:dyDescent="0.2">
      <c r="B32">
        <v>1</v>
      </c>
      <c r="C32">
        <v>31</v>
      </c>
      <c r="D32">
        <f t="shared" si="0"/>
        <v>1</v>
      </c>
      <c r="F32">
        <f t="shared" si="6"/>
        <v>35000</v>
      </c>
      <c r="G32">
        <f t="shared" si="1"/>
        <v>-25000</v>
      </c>
      <c r="H32">
        <f t="shared" si="2"/>
        <v>5.3829266100871662E-3</v>
      </c>
      <c r="I32">
        <f t="shared" si="7"/>
        <v>10000</v>
      </c>
      <c r="J32">
        <f t="shared" si="8"/>
        <v>53.829266100871664</v>
      </c>
      <c r="L32">
        <v>2</v>
      </c>
      <c r="M32">
        <v>31</v>
      </c>
      <c r="N32">
        <f t="shared" si="3"/>
        <v>2</v>
      </c>
      <c r="P32">
        <f t="shared" si="9"/>
        <v>70000</v>
      </c>
      <c r="Q32">
        <f t="shared" si="4"/>
        <v>-50000</v>
      </c>
      <c r="R32">
        <f t="shared" si="5"/>
        <v>5.3829266100871662E-3</v>
      </c>
      <c r="S32">
        <f t="shared" si="10"/>
        <v>20000</v>
      </c>
      <c r="T32">
        <f t="shared" si="11"/>
        <v>107.65853220174333</v>
      </c>
    </row>
    <row r="33" spans="2:20" x14ac:dyDescent="0.2">
      <c r="B33">
        <v>1</v>
      </c>
      <c r="C33">
        <v>32</v>
      </c>
      <c r="D33">
        <f t="shared" si="0"/>
        <v>1</v>
      </c>
      <c r="F33">
        <f t="shared" si="6"/>
        <v>35000</v>
      </c>
      <c r="G33">
        <f t="shared" si="1"/>
        <v>-25000</v>
      </c>
      <c r="H33">
        <f t="shared" si="2"/>
        <v>3.3643291313044795E-3</v>
      </c>
      <c r="I33">
        <f t="shared" si="7"/>
        <v>10000</v>
      </c>
      <c r="J33">
        <f t="shared" si="8"/>
        <v>33.643291313044799</v>
      </c>
      <c r="L33">
        <v>2</v>
      </c>
      <c r="M33">
        <v>32</v>
      </c>
      <c r="N33">
        <f t="shared" si="3"/>
        <v>2</v>
      </c>
      <c r="P33">
        <f t="shared" si="9"/>
        <v>70000</v>
      </c>
      <c r="Q33">
        <f t="shared" si="4"/>
        <v>-50000</v>
      </c>
      <c r="R33">
        <f t="shared" si="5"/>
        <v>3.3643291313044795E-3</v>
      </c>
      <c r="S33">
        <f t="shared" si="10"/>
        <v>20000</v>
      </c>
      <c r="T33">
        <f t="shared" si="11"/>
        <v>67.286582626089597</v>
      </c>
    </row>
    <row r="34" spans="2:20" x14ac:dyDescent="0.2">
      <c r="B34">
        <v>1</v>
      </c>
      <c r="C34">
        <v>33</v>
      </c>
      <c r="D34">
        <f t="shared" si="0"/>
        <v>1</v>
      </c>
      <c r="F34">
        <f t="shared" si="6"/>
        <v>35000</v>
      </c>
      <c r="G34">
        <f t="shared" si="1"/>
        <v>-25000</v>
      </c>
      <c r="H34">
        <f t="shared" si="2"/>
        <v>2.0389873523057444E-3</v>
      </c>
      <c r="I34">
        <f t="shared" si="7"/>
        <v>10000</v>
      </c>
      <c r="J34">
        <f t="shared" si="8"/>
        <v>20.389873523057442</v>
      </c>
      <c r="L34">
        <v>2</v>
      </c>
      <c r="M34">
        <v>33</v>
      </c>
      <c r="N34">
        <f t="shared" si="3"/>
        <v>2</v>
      </c>
      <c r="P34">
        <f t="shared" si="9"/>
        <v>70000</v>
      </c>
      <c r="Q34">
        <f t="shared" si="4"/>
        <v>-50000</v>
      </c>
      <c r="R34">
        <f t="shared" si="5"/>
        <v>2.0389873523057444E-3</v>
      </c>
      <c r="S34">
        <f t="shared" si="10"/>
        <v>20000</v>
      </c>
      <c r="T34">
        <f t="shared" si="11"/>
        <v>40.779747046114885</v>
      </c>
    </row>
    <row r="35" spans="2:20" x14ac:dyDescent="0.2">
      <c r="B35">
        <v>1</v>
      </c>
      <c r="C35">
        <v>34</v>
      </c>
      <c r="D35">
        <f t="shared" si="0"/>
        <v>1</v>
      </c>
      <c r="F35">
        <f t="shared" si="6"/>
        <v>35000</v>
      </c>
      <c r="G35">
        <f t="shared" si="1"/>
        <v>-25000</v>
      </c>
      <c r="H35">
        <f t="shared" si="2"/>
        <v>1.1994043248857325E-3</v>
      </c>
      <c r="I35">
        <f t="shared" si="7"/>
        <v>10000</v>
      </c>
      <c r="J35">
        <f t="shared" si="8"/>
        <v>11.994043248857325</v>
      </c>
      <c r="L35">
        <v>2</v>
      </c>
      <c r="M35">
        <v>34</v>
      </c>
      <c r="N35">
        <f t="shared" si="3"/>
        <v>2</v>
      </c>
      <c r="P35">
        <f t="shared" si="9"/>
        <v>70000</v>
      </c>
      <c r="Q35">
        <f t="shared" si="4"/>
        <v>-50000</v>
      </c>
      <c r="R35">
        <f t="shared" si="5"/>
        <v>1.1994043248857325E-3</v>
      </c>
      <c r="S35">
        <f t="shared" si="10"/>
        <v>20000</v>
      </c>
      <c r="T35">
        <f t="shared" si="11"/>
        <v>23.988086497714651</v>
      </c>
    </row>
    <row r="36" spans="2:20" x14ac:dyDescent="0.2">
      <c r="B36">
        <v>1</v>
      </c>
      <c r="C36">
        <v>35</v>
      </c>
      <c r="D36">
        <f t="shared" si="0"/>
        <v>1</v>
      </c>
      <c r="F36">
        <f t="shared" si="6"/>
        <v>35000</v>
      </c>
      <c r="G36">
        <f t="shared" si="1"/>
        <v>-25000</v>
      </c>
      <c r="H36">
        <f t="shared" si="2"/>
        <v>6.8537389993470431E-4</v>
      </c>
      <c r="I36">
        <f t="shared" si="7"/>
        <v>10000</v>
      </c>
      <c r="J36">
        <f t="shared" si="8"/>
        <v>6.8537389993470432</v>
      </c>
      <c r="L36">
        <v>2</v>
      </c>
      <c r="M36">
        <v>35</v>
      </c>
      <c r="N36">
        <f t="shared" si="3"/>
        <v>2</v>
      </c>
      <c r="P36">
        <f t="shared" si="9"/>
        <v>70000</v>
      </c>
      <c r="Q36">
        <f t="shared" si="4"/>
        <v>-50000</v>
      </c>
      <c r="R36">
        <f t="shared" si="5"/>
        <v>6.8537389993470431E-4</v>
      </c>
      <c r="S36">
        <f t="shared" si="10"/>
        <v>20000</v>
      </c>
      <c r="T36">
        <f t="shared" si="11"/>
        <v>13.707477998694086</v>
      </c>
    </row>
    <row r="37" spans="2:20" x14ac:dyDescent="0.2">
      <c r="B37">
        <v>1</v>
      </c>
      <c r="C37">
        <v>36</v>
      </c>
      <c r="D37">
        <f t="shared" si="0"/>
        <v>1</v>
      </c>
      <c r="F37">
        <f t="shared" si="6"/>
        <v>35000</v>
      </c>
      <c r="G37">
        <f t="shared" si="1"/>
        <v>-25000</v>
      </c>
      <c r="H37">
        <f t="shared" si="2"/>
        <v>3.8076327774150227E-4</v>
      </c>
      <c r="I37">
        <f t="shared" si="7"/>
        <v>10000</v>
      </c>
      <c r="J37">
        <f t="shared" si="8"/>
        <v>3.8076327774150225</v>
      </c>
      <c r="L37">
        <v>2</v>
      </c>
      <c r="M37">
        <v>36</v>
      </c>
      <c r="N37">
        <f t="shared" si="3"/>
        <v>2</v>
      </c>
      <c r="P37">
        <f t="shared" si="9"/>
        <v>70000</v>
      </c>
      <c r="Q37">
        <f t="shared" si="4"/>
        <v>-50000</v>
      </c>
      <c r="R37">
        <f t="shared" si="5"/>
        <v>3.8076327774150227E-4</v>
      </c>
      <c r="S37">
        <f t="shared" si="10"/>
        <v>20000</v>
      </c>
      <c r="T37">
        <f t="shared" si="11"/>
        <v>7.615265554830045</v>
      </c>
    </row>
    <row r="38" spans="2:20" x14ac:dyDescent="0.2">
      <c r="B38">
        <v>1</v>
      </c>
      <c r="C38">
        <v>37</v>
      </c>
      <c r="D38">
        <f t="shared" si="0"/>
        <v>1</v>
      </c>
      <c r="F38">
        <f t="shared" si="6"/>
        <v>35000</v>
      </c>
      <c r="G38">
        <f t="shared" si="1"/>
        <v>-25000</v>
      </c>
      <c r="H38">
        <f t="shared" si="2"/>
        <v>2.0581798796837967E-4</v>
      </c>
      <c r="I38">
        <f t="shared" si="7"/>
        <v>10000</v>
      </c>
      <c r="J38">
        <f t="shared" si="8"/>
        <v>2.0581798796837969</v>
      </c>
      <c r="L38">
        <v>2</v>
      </c>
      <c r="M38">
        <v>37</v>
      </c>
      <c r="N38">
        <f t="shared" si="3"/>
        <v>2</v>
      </c>
      <c r="P38">
        <f t="shared" si="9"/>
        <v>70000</v>
      </c>
      <c r="Q38">
        <f t="shared" si="4"/>
        <v>-50000</v>
      </c>
      <c r="R38">
        <f t="shared" si="5"/>
        <v>2.0581798796837967E-4</v>
      </c>
      <c r="S38">
        <f t="shared" si="10"/>
        <v>20000</v>
      </c>
      <c r="T38">
        <f t="shared" si="11"/>
        <v>4.1163597593675938</v>
      </c>
    </row>
    <row r="39" spans="2:20" x14ac:dyDescent="0.2">
      <c r="B39">
        <v>1</v>
      </c>
      <c r="C39">
        <v>38</v>
      </c>
      <c r="D39">
        <f t="shared" si="0"/>
        <v>1</v>
      </c>
      <c r="F39">
        <f t="shared" si="6"/>
        <v>35000</v>
      </c>
      <c r="G39">
        <f t="shared" si="1"/>
        <v>-25000</v>
      </c>
      <c r="H39">
        <f t="shared" si="2"/>
        <v>1.0832525682546299E-4</v>
      </c>
      <c r="I39">
        <f t="shared" si="7"/>
        <v>10000</v>
      </c>
      <c r="J39">
        <f t="shared" si="8"/>
        <v>1.0832525682546299</v>
      </c>
      <c r="L39">
        <v>2</v>
      </c>
      <c r="M39">
        <v>38</v>
      </c>
      <c r="N39">
        <f t="shared" si="3"/>
        <v>2</v>
      </c>
      <c r="P39">
        <f t="shared" si="9"/>
        <v>70000</v>
      </c>
      <c r="Q39">
        <f t="shared" si="4"/>
        <v>-50000</v>
      </c>
      <c r="R39">
        <f t="shared" si="5"/>
        <v>1.0832525682546299E-4</v>
      </c>
      <c r="S39">
        <f t="shared" si="10"/>
        <v>20000</v>
      </c>
      <c r="T39">
        <f t="shared" si="11"/>
        <v>2.1665051365092598</v>
      </c>
    </row>
    <row r="40" spans="2:20" x14ac:dyDescent="0.2">
      <c r="B40">
        <v>1</v>
      </c>
      <c r="C40">
        <v>39</v>
      </c>
      <c r="D40">
        <f t="shared" si="0"/>
        <v>1</v>
      </c>
      <c r="F40">
        <f t="shared" si="6"/>
        <v>35000</v>
      </c>
      <c r="G40">
        <f t="shared" si="1"/>
        <v>-25000</v>
      </c>
      <c r="H40">
        <f t="shared" si="2"/>
        <v>5.5551413756647675E-5</v>
      </c>
      <c r="I40">
        <f t="shared" si="7"/>
        <v>10000</v>
      </c>
      <c r="J40">
        <f t="shared" si="8"/>
        <v>0.55551413756647672</v>
      </c>
      <c r="L40">
        <v>2</v>
      </c>
      <c r="M40">
        <v>39</v>
      </c>
      <c r="N40">
        <f t="shared" si="3"/>
        <v>2</v>
      </c>
      <c r="P40">
        <f t="shared" si="9"/>
        <v>70000</v>
      </c>
      <c r="Q40">
        <f t="shared" si="4"/>
        <v>-50000</v>
      </c>
      <c r="R40">
        <f t="shared" si="5"/>
        <v>5.5551413756647675E-5</v>
      </c>
      <c r="S40">
        <f t="shared" si="10"/>
        <v>20000</v>
      </c>
      <c r="T40">
        <f t="shared" si="11"/>
        <v>1.1110282751329534</v>
      </c>
    </row>
    <row r="41" spans="2:20" x14ac:dyDescent="0.2">
      <c r="B41">
        <v>1</v>
      </c>
      <c r="C41">
        <v>40</v>
      </c>
      <c r="D41">
        <f t="shared" si="0"/>
        <v>1</v>
      </c>
      <c r="F41">
        <f t="shared" si="6"/>
        <v>35000</v>
      </c>
      <c r="G41">
        <f t="shared" si="1"/>
        <v>-25000</v>
      </c>
      <c r="H41">
        <f t="shared" si="2"/>
        <v>2.7775706878323827E-5</v>
      </c>
      <c r="I41">
        <f t="shared" si="7"/>
        <v>10000</v>
      </c>
      <c r="J41">
        <f t="shared" si="8"/>
        <v>0.27775706878323825</v>
      </c>
      <c r="L41">
        <v>2</v>
      </c>
      <c r="M41">
        <v>40</v>
      </c>
      <c r="N41">
        <f t="shared" si="3"/>
        <v>2</v>
      </c>
      <c r="P41">
        <f t="shared" si="9"/>
        <v>70000</v>
      </c>
      <c r="Q41">
        <f t="shared" si="4"/>
        <v>-50000</v>
      </c>
      <c r="R41">
        <f t="shared" si="5"/>
        <v>2.7775706878323827E-5</v>
      </c>
      <c r="S41">
        <f t="shared" si="10"/>
        <v>20000</v>
      </c>
      <c r="T41">
        <f t="shared" si="11"/>
        <v>0.5555141375664765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7D78-8361-4020-82E7-826AC407B97B}">
  <dimension ref="B1:V41"/>
  <sheetViews>
    <sheetView workbookViewId="0">
      <selection activeCell="L27" sqref="L27"/>
    </sheetView>
  </sheetViews>
  <sheetFormatPr defaultRowHeight="12.75" x14ac:dyDescent="0.2"/>
  <cols>
    <col min="9" max="9" width="12.75" bestFit="1" customWidth="1"/>
    <col min="11" max="11" width="13.25" customWidth="1"/>
    <col min="22" max="22" width="13.875" customWidth="1"/>
  </cols>
  <sheetData>
    <row r="1" spans="2:22" x14ac:dyDescent="0.2">
      <c r="B1" t="s">
        <v>2</v>
      </c>
      <c r="C1" t="s">
        <v>3</v>
      </c>
      <c r="D1" t="s">
        <v>0</v>
      </c>
      <c r="E1" t="s">
        <v>1</v>
      </c>
      <c r="G1" t="s">
        <v>4</v>
      </c>
      <c r="H1" t="s">
        <v>5</v>
      </c>
      <c r="I1" t="s">
        <v>6</v>
      </c>
      <c r="K1">
        <f>SUM(K2:K41)</f>
        <v>-369979.4820413366</v>
      </c>
      <c r="M1" t="s">
        <v>2</v>
      </c>
      <c r="N1" t="s">
        <v>3</v>
      </c>
      <c r="O1" t="s">
        <v>0</v>
      </c>
      <c r="P1" t="s">
        <v>1</v>
      </c>
      <c r="R1" t="s">
        <v>4</v>
      </c>
      <c r="S1" t="s">
        <v>5</v>
      </c>
      <c r="T1" t="s">
        <v>6</v>
      </c>
      <c r="V1">
        <f>SUM(V2:V41)</f>
        <v>-339980.24715998716</v>
      </c>
    </row>
    <row r="2" spans="2:22" x14ac:dyDescent="0.2">
      <c r="B2">
        <v>1</v>
      </c>
      <c r="C2">
        <v>1</v>
      </c>
      <c r="D2">
        <f>C2-B2</f>
        <v>0</v>
      </c>
      <c r="E2">
        <f>MIN(B2,C2)</f>
        <v>1</v>
      </c>
      <c r="G2">
        <f>35000</f>
        <v>35000</v>
      </c>
      <c r="H2">
        <f>-25000*B2-20000*D2</f>
        <v>-25000</v>
      </c>
      <c r="I2">
        <f>20^C2*EXP(-20)/FACT(C2)</f>
        <v>4.1223072448771159E-8</v>
      </c>
      <c r="J2">
        <f>G2+H2</f>
        <v>10000</v>
      </c>
      <c r="K2">
        <f>I2*J2</f>
        <v>4.1223072448771161E-4</v>
      </c>
      <c r="M2">
        <v>2</v>
      </c>
      <c r="N2">
        <v>1</v>
      </c>
      <c r="O2">
        <v>0</v>
      </c>
      <c r="P2">
        <f>MIN(M2,N2)</f>
        <v>1</v>
      </c>
      <c r="R2">
        <f>35000*P2</f>
        <v>35000</v>
      </c>
      <c r="S2">
        <f>-25000*M2-20000*O2</f>
        <v>-50000</v>
      </c>
      <c r="T2">
        <f>20^N2*EXP(-20)/FACT(N2)</f>
        <v>4.1223072448771159E-8</v>
      </c>
      <c r="U2">
        <f>R2+S2</f>
        <v>-15000</v>
      </c>
      <c r="V2">
        <f>T2*U2</f>
        <v>-6.1834608673156744E-4</v>
      </c>
    </row>
    <row r="3" spans="2:22" x14ac:dyDescent="0.2">
      <c r="B3">
        <v>1</v>
      </c>
      <c r="C3">
        <v>2</v>
      </c>
      <c r="D3">
        <f t="shared" ref="D3:D41" si="0">C3-B3</f>
        <v>1</v>
      </c>
      <c r="E3">
        <f t="shared" ref="E3:E41" si="1">MIN(B3,C3)</f>
        <v>1</v>
      </c>
      <c r="G3">
        <f>35000</f>
        <v>35000</v>
      </c>
      <c r="H3">
        <f t="shared" ref="H3:H41" si="2">-25000*B3-20000*D3</f>
        <v>-45000</v>
      </c>
      <c r="I3">
        <f t="shared" ref="I3:I41" si="3">20^C3*EXP(-20)/FACT(C3)</f>
        <v>4.1223072448771158E-7</v>
      </c>
      <c r="J3">
        <f t="shared" ref="J3:J41" si="4">G3+H3</f>
        <v>-10000</v>
      </c>
      <c r="K3">
        <f t="shared" ref="K3:K41" si="5">I3*J3</f>
        <v>-4.1223072448771155E-3</v>
      </c>
      <c r="M3">
        <v>2</v>
      </c>
      <c r="N3">
        <v>2</v>
      </c>
      <c r="O3">
        <f t="shared" ref="O3:O41" si="6">N3-M3</f>
        <v>0</v>
      </c>
      <c r="P3">
        <f t="shared" ref="P3:P41" si="7">MIN(M3,N3)</f>
        <v>2</v>
      </c>
      <c r="R3">
        <f t="shared" ref="R3:R41" si="8">35000*P3</f>
        <v>70000</v>
      </c>
      <c r="S3">
        <f t="shared" ref="S3:S41" si="9">-25000*M3-20000*O3</f>
        <v>-50000</v>
      </c>
      <c r="T3">
        <f t="shared" ref="T3:T41" si="10">20^N3*EXP(-20)/FACT(N3)</f>
        <v>4.1223072448771158E-7</v>
      </c>
      <c r="U3">
        <f t="shared" ref="U3:U41" si="11">R3+S3</f>
        <v>20000</v>
      </c>
      <c r="V3">
        <f t="shared" ref="V3:V41" si="12">T3*U3</f>
        <v>8.244614489754231E-3</v>
      </c>
    </row>
    <row r="4" spans="2:22" x14ac:dyDescent="0.2">
      <c r="B4">
        <v>1</v>
      </c>
      <c r="C4">
        <v>3</v>
      </c>
      <c r="D4">
        <f t="shared" si="0"/>
        <v>2</v>
      </c>
      <c r="E4">
        <f t="shared" si="1"/>
        <v>1</v>
      </c>
      <c r="G4">
        <f>35000</f>
        <v>35000</v>
      </c>
      <c r="H4">
        <f t="shared" si="2"/>
        <v>-65000</v>
      </c>
      <c r="I4">
        <f t="shared" si="3"/>
        <v>2.7482048299180773E-6</v>
      </c>
      <c r="J4">
        <f t="shared" si="4"/>
        <v>-30000</v>
      </c>
      <c r="K4">
        <f t="shared" si="5"/>
        <v>-8.2446144897542317E-2</v>
      </c>
      <c r="M4">
        <v>2</v>
      </c>
      <c r="N4">
        <v>3</v>
      </c>
      <c r="O4">
        <f t="shared" si="6"/>
        <v>1</v>
      </c>
      <c r="P4">
        <f t="shared" si="7"/>
        <v>2</v>
      </c>
      <c r="R4">
        <f t="shared" si="8"/>
        <v>70000</v>
      </c>
      <c r="S4">
        <f t="shared" si="9"/>
        <v>-70000</v>
      </c>
      <c r="T4">
        <f t="shared" si="10"/>
        <v>2.7482048299180773E-6</v>
      </c>
      <c r="U4">
        <f t="shared" si="11"/>
        <v>0</v>
      </c>
      <c r="V4">
        <f t="shared" si="12"/>
        <v>0</v>
      </c>
    </row>
    <row r="5" spans="2:22" x14ac:dyDescent="0.2">
      <c r="B5">
        <v>1</v>
      </c>
      <c r="C5">
        <v>4</v>
      </c>
      <c r="D5">
        <f t="shared" si="0"/>
        <v>3</v>
      </c>
      <c r="E5">
        <f t="shared" si="1"/>
        <v>1</v>
      </c>
      <c r="G5">
        <f>35000</f>
        <v>35000</v>
      </c>
      <c r="H5">
        <f t="shared" si="2"/>
        <v>-85000</v>
      </c>
      <c r="I5">
        <f t="shared" si="3"/>
        <v>1.3741024149590386E-5</v>
      </c>
      <c r="J5">
        <f t="shared" si="4"/>
        <v>-50000</v>
      </c>
      <c r="K5">
        <f t="shared" si="5"/>
        <v>-0.68705120747951931</v>
      </c>
      <c r="M5">
        <v>2</v>
      </c>
      <c r="N5">
        <v>4</v>
      </c>
      <c r="O5">
        <f t="shared" si="6"/>
        <v>2</v>
      </c>
      <c r="P5">
        <f t="shared" si="7"/>
        <v>2</v>
      </c>
      <c r="R5">
        <f t="shared" si="8"/>
        <v>70000</v>
      </c>
      <c r="S5">
        <f t="shared" si="9"/>
        <v>-90000</v>
      </c>
      <c r="T5">
        <f t="shared" si="10"/>
        <v>1.3741024149590386E-5</v>
      </c>
      <c r="U5">
        <f t="shared" si="11"/>
        <v>-20000</v>
      </c>
      <c r="V5">
        <f t="shared" si="12"/>
        <v>-0.27482048299180772</v>
      </c>
    </row>
    <row r="6" spans="2:22" x14ac:dyDescent="0.2">
      <c r="B6">
        <v>1</v>
      </c>
      <c r="C6">
        <v>5</v>
      </c>
      <c r="D6">
        <f t="shared" si="0"/>
        <v>4</v>
      </c>
      <c r="E6">
        <f t="shared" si="1"/>
        <v>1</v>
      </c>
      <c r="G6">
        <f>35000</f>
        <v>35000</v>
      </c>
      <c r="H6">
        <f t="shared" si="2"/>
        <v>-105000</v>
      </c>
      <c r="I6">
        <f t="shared" si="3"/>
        <v>5.4964096598361543E-5</v>
      </c>
      <c r="J6">
        <f t="shared" si="4"/>
        <v>-70000</v>
      </c>
      <c r="K6">
        <f t="shared" si="5"/>
        <v>-3.8474867618853081</v>
      </c>
      <c r="M6">
        <v>2</v>
      </c>
      <c r="N6">
        <v>5</v>
      </c>
      <c r="O6">
        <f t="shared" si="6"/>
        <v>3</v>
      </c>
      <c r="P6">
        <f t="shared" si="7"/>
        <v>2</v>
      </c>
      <c r="R6">
        <f t="shared" si="8"/>
        <v>70000</v>
      </c>
      <c r="S6">
        <f t="shared" si="9"/>
        <v>-110000</v>
      </c>
      <c r="T6">
        <f t="shared" si="10"/>
        <v>5.4964096598361543E-5</v>
      </c>
      <c r="U6">
        <f t="shared" si="11"/>
        <v>-40000</v>
      </c>
      <c r="V6">
        <f t="shared" si="12"/>
        <v>-2.1985638639344618</v>
      </c>
    </row>
    <row r="7" spans="2:22" x14ac:dyDescent="0.2">
      <c r="B7">
        <v>1</v>
      </c>
      <c r="C7">
        <v>6</v>
      </c>
      <c r="D7">
        <f t="shared" si="0"/>
        <v>5</v>
      </c>
      <c r="E7">
        <f t="shared" si="1"/>
        <v>1</v>
      </c>
      <c r="G7">
        <f>35000</f>
        <v>35000</v>
      </c>
      <c r="H7">
        <f t="shared" si="2"/>
        <v>-125000</v>
      </c>
      <c r="I7">
        <f t="shared" si="3"/>
        <v>1.832136553278718E-4</v>
      </c>
      <c r="J7">
        <f t="shared" si="4"/>
        <v>-90000</v>
      </c>
      <c r="K7">
        <f t="shared" si="5"/>
        <v>-16.489228979508461</v>
      </c>
      <c r="M7">
        <v>2</v>
      </c>
      <c r="N7">
        <v>6</v>
      </c>
      <c r="O7">
        <f t="shared" si="6"/>
        <v>4</v>
      </c>
      <c r="P7">
        <f t="shared" si="7"/>
        <v>2</v>
      </c>
      <c r="R7">
        <f t="shared" si="8"/>
        <v>70000</v>
      </c>
      <c r="S7">
        <f t="shared" si="9"/>
        <v>-130000</v>
      </c>
      <c r="T7">
        <f t="shared" si="10"/>
        <v>1.832136553278718E-4</v>
      </c>
      <c r="U7">
        <f t="shared" si="11"/>
        <v>-60000</v>
      </c>
      <c r="V7">
        <f t="shared" si="12"/>
        <v>-10.992819319672307</v>
      </c>
    </row>
    <row r="8" spans="2:22" x14ac:dyDescent="0.2">
      <c r="B8">
        <v>1</v>
      </c>
      <c r="C8">
        <v>7</v>
      </c>
      <c r="D8">
        <f t="shared" si="0"/>
        <v>6</v>
      </c>
      <c r="E8">
        <f t="shared" si="1"/>
        <v>1</v>
      </c>
      <c r="G8">
        <f>35000</f>
        <v>35000</v>
      </c>
      <c r="H8">
        <f t="shared" si="2"/>
        <v>-145000</v>
      </c>
      <c r="I8">
        <f t="shared" si="3"/>
        <v>5.2346758665106237E-4</v>
      </c>
      <c r="J8">
        <f t="shared" si="4"/>
        <v>-110000</v>
      </c>
      <c r="K8">
        <f t="shared" si="5"/>
        <v>-57.581434531616864</v>
      </c>
      <c r="M8">
        <v>2</v>
      </c>
      <c r="N8">
        <v>7</v>
      </c>
      <c r="O8">
        <f t="shared" si="6"/>
        <v>5</v>
      </c>
      <c r="P8">
        <f t="shared" si="7"/>
        <v>2</v>
      </c>
      <c r="R8">
        <f t="shared" si="8"/>
        <v>70000</v>
      </c>
      <c r="S8">
        <f t="shared" si="9"/>
        <v>-150000</v>
      </c>
      <c r="T8">
        <f t="shared" si="10"/>
        <v>5.2346758665106237E-4</v>
      </c>
      <c r="U8">
        <f t="shared" si="11"/>
        <v>-80000</v>
      </c>
      <c r="V8">
        <f t="shared" si="12"/>
        <v>-41.877406932084988</v>
      </c>
    </row>
    <row r="9" spans="2:22" x14ac:dyDescent="0.2">
      <c r="B9">
        <v>1</v>
      </c>
      <c r="C9">
        <v>8</v>
      </c>
      <c r="D9">
        <f t="shared" si="0"/>
        <v>7</v>
      </c>
      <c r="E9">
        <f t="shared" si="1"/>
        <v>1</v>
      </c>
      <c r="G9">
        <f>35000</f>
        <v>35000</v>
      </c>
      <c r="H9">
        <f t="shared" si="2"/>
        <v>-165000</v>
      </c>
      <c r="I9">
        <f t="shared" si="3"/>
        <v>1.3086689666276558E-3</v>
      </c>
      <c r="J9">
        <f t="shared" si="4"/>
        <v>-130000</v>
      </c>
      <c r="K9">
        <f t="shared" si="5"/>
        <v>-170.12696566159525</v>
      </c>
      <c r="M9">
        <v>2</v>
      </c>
      <c r="N9">
        <v>8</v>
      </c>
      <c r="O9">
        <f t="shared" si="6"/>
        <v>6</v>
      </c>
      <c r="P9">
        <f t="shared" si="7"/>
        <v>2</v>
      </c>
      <c r="R9">
        <f t="shared" si="8"/>
        <v>70000</v>
      </c>
      <c r="S9">
        <f t="shared" si="9"/>
        <v>-170000</v>
      </c>
      <c r="T9">
        <f t="shared" si="10"/>
        <v>1.3086689666276558E-3</v>
      </c>
      <c r="U9">
        <f t="shared" si="11"/>
        <v>-100000</v>
      </c>
      <c r="V9">
        <f t="shared" si="12"/>
        <v>-130.86689666276558</v>
      </c>
    </row>
    <row r="10" spans="2:22" x14ac:dyDescent="0.2">
      <c r="B10">
        <v>1</v>
      </c>
      <c r="C10">
        <v>9</v>
      </c>
      <c r="D10">
        <f t="shared" si="0"/>
        <v>8</v>
      </c>
      <c r="E10">
        <f t="shared" si="1"/>
        <v>1</v>
      </c>
      <c r="G10">
        <f>35000</f>
        <v>35000</v>
      </c>
      <c r="H10">
        <f t="shared" si="2"/>
        <v>-185000</v>
      </c>
      <c r="I10">
        <f t="shared" si="3"/>
        <v>2.9081532591725685E-3</v>
      </c>
      <c r="J10">
        <f t="shared" si="4"/>
        <v>-150000</v>
      </c>
      <c r="K10">
        <f t="shared" si="5"/>
        <v>-436.22298887588528</v>
      </c>
      <c r="M10">
        <v>2</v>
      </c>
      <c r="N10">
        <v>9</v>
      </c>
      <c r="O10">
        <f t="shared" si="6"/>
        <v>7</v>
      </c>
      <c r="P10">
        <f t="shared" si="7"/>
        <v>2</v>
      </c>
      <c r="R10">
        <f t="shared" si="8"/>
        <v>70000</v>
      </c>
      <c r="S10">
        <f t="shared" si="9"/>
        <v>-190000</v>
      </c>
      <c r="T10">
        <f t="shared" si="10"/>
        <v>2.9081532591725685E-3</v>
      </c>
      <c r="U10">
        <f t="shared" si="11"/>
        <v>-120000</v>
      </c>
      <c r="V10">
        <f t="shared" si="12"/>
        <v>-348.97839110070822</v>
      </c>
    </row>
    <row r="11" spans="2:22" x14ac:dyDescent="0.2">
      <c r="B11">
        <v>1</v>
      </c>
      <c r="C11">
        <v>10</v>
      </c>
      <c r="D11">
        <f t="shared" si="0"/>
        <v>9</v>
      </c>
      <c r="E11">
        <f t="shared" si="1"/>
        <v>1</v>
      </c>
      <c r="G11">
        <f>35000</f>
        <v>35000</v>
      </c>
      <c r="H11">
        <f t="shared" si="2"/>
        <v>-205000</v>
      </c>
      <c r="I11">
        <f t="shared" si="3"/>
        <v>5.8163065183451362E-3</v>
      </c>
      <c r="J11">
        <f t="shared" si="4"/>
        <v>-170000</v>
      </c>
      <c r="K11">
        <f t="shared" si="5"/>
        <v>-988.77210811867315</v>
      </c>
      <c r="M11">
        <v>2</v>
      </c>
      <c r="N11">
        <v>10</v>
      </c>
      <c r="O11">
        <f t="shared" si="6"/>
        <v>8</v>
      </c>
      <c r="P11">
        <f t="shared" si="7"/>
        <v>2</v>
      </c>
      <c r="R11">
        <f t="shared" si="8"/>
        <v>70000</v>
      </c>
      <c r="S11">
        <f t="shared" si="9"/>
        <v>-210000</v>
      </c>
      <c r="T11">
        <f t="shared" si="10"/>
        <v>5.8163065183451362E-3</v>
      </c>
      <c r="U11">
        <f t="shared" si="11"/>
        <v>-140000</v>
      </c>
      <c r="V11">
        <f t="shared" si="12"/>
        <v>-814.28291256831903</v>
      </c>
    </row>
    <row r="12" spans="2:22" x14ac:dyDescent="0.2">
      <c r="B12">
        <v>1</v>
      </c>
      <c r="C12">
        <v>11</v>
      </c>
      <c r="D12">
        <f t="shared" si="0"/>
        <v>10</v>
      </c>
      <c r="E12">
        <f t="shared" si="1"/>
        <v>1</v>
      </c>
      <c r="G12">
        <f>35000</f>
        <v>35000</v>
      </c>
      <c r="H12">
        <f t="shared" si="2"/>
        <v>-225000</v>
      </c>
      <c r="I12">
        <f t="shared" si="3"/>
        <v>1.0575102760627522E-2</v>
      </c>
      <c r="J12">
        <f t="shared" si="4"/>
        <v>-190000</v>
      </c>
      <c r="K12">
        <f t="shared" si="5"/>
        <v>-2009.2695245192292</v>
      </c>
      <c r="M12">
        <v>2</v>
      </c>
      <c r="N12">
        <v>11</v>
      </c>
      <c r="O12">
        <f t="shared" si="6"/>
        <v>9</v>
      </c>
      <c r="P12">
        <f t="shared" si="7"/>
        <v>2</v>
      </c>
      <c r="R12">
        <f t="shared" si="8"/>
        <v>70000</v>
      </c>
      <c r="S12">
        <f t="shared" si="9"/>
        <v>-230000</v>
      </c>
      <c r="T12">
        <f t="shared" si="10"/>
        <v>1.0575102760627522E-2</v>
      </c>
      <c r="U12">
        <f t="shared" si="11"/>
        <v>-160000</v>
      </c>
      <c r="V12">
        <f t="shared" si="12"/>
        <v>-1692.0164417004034</v>
      </c>
    </row>
    <row r="13" spans="2:22" x14ac:dyDescent="0.2">
      <c r="B13">
        <v>1</v>
      </c>
      <c r="C13">
        <v>12</v>
      </c>
      <c r="D13">
        <f t="shared" si="0"/>
        <v>11</v>
      </c>
      <c r="E13">
        <f t="shared" si="1"/>
        <v>1</v>
      </c>
      <c r="G13">
        <f>35000</f>
        <v>35000</v>
      </c>
      <c r="H13">
        <f t="shared" si="2"/>
        <v>-245000</v>
      </c>
      <c r="I13">
        <f t="shared" si="3"/>
        <v>1.7625171267712535E-2</v>
      </c>
      <c r="J13">
        <f t="shared" si="4"/>
        <v>-210000</v>
      </c>
      <c r="K13">
        <f t="shared" si="5"/>
        <v>-3701.2859662196324</v>
      </c>
      <c r="M13">
        <v>2</v>
      </c>
      <c r="N13">
        <v>12</v>
      </c>
      <c r="O13">
        <f t="shared" si="6"/>
        <v>10</v>
      </c>
      <c r="P13">
        <f t="shared" si="7"/>
        <v>2</v>
      </c>
      <c r="R13">
        <f t="shared" si="8"/>
        <v>70000</v>
      </c>
      <c r="S13">
        <f t="shared" si="9"/>
        <v>-250000</v>
      </c>
      <c r="T13">
        <f t="shared" si="10"/>
        <v>1.7625171267712535E-2</v>
      </c>
      <c r="U13">
        <f t="shared" si="11"/>
        <v>-180000</v>
      </c>
      <c r="V13">
        <f t="shared" si="12"/>
        <v>-3172.5308281882562</v>
      </c>
    </row>
    <row r="14" spans="2:22" x14ac:dyDescent="0.2">
      <c r="B14">
        <v>1</v>
      </c>
      <c r="C14">
        <v>13</v>
      </c>
      <c r="D14">
        <f t="shared" si="0"/>
        <v>12</v>
      </c>
      <c r="E14">
        <f t="shared" si="1"/>
        <v>1</v>
      </c>
      <c r="G14">
        <f>35000</f>
        <v>35000</v>
      </c>
      <c r="H14">
        <f t="shared" si="2"/>
        <v>-265000</v>
      </c>
      <c r="I14">
        <f t="shared" si="3"/>
        <v>2.7115648104173131E-2</v>
      </c>
      <c r="J14">
        <f t="shared" si="4"/>
        <v>-230000</v>
      </c>
      <c r="K14">
        <f t="shared" si="5"/>
        <v>-6236.5990639598203</v>
      </c>
      <c r="M14">
        <v>2</v>
      </c>
      <c r="N14">
        <v>13</v>
      </c>
      <c r="O14">
        <f t="shared" si="6"/>
        <v>11</v>
      </c>
      <c r="P14">
        <f t="shared" si="7"/>
        <v>2</v>
      </c>
      <c r="R14">
        <f t="shared" si="8"/>
        <v>70000</v>
      </c>
      <c r="S14">
        <f t="shared" si="9"/>
        <v>-270000</v>
      </c>
      <c r="T14">
        <f t="shared" si="10"/>
        <v>2.7115648104173131E-2</v>
      </c>
      <c r="U14">
        <f t="shared" si="11"/>
        <v>-200000</v>
      </c>
      <c r="V14">
        <f t="shared" si="12"/>
        <v>-5423.1296208346266</v>
      </c>
    </row>
    <row r="15" spans="2:22" x14ac:dyDescent="0.2">
      <c r="B15">
        <v>1</v>
      </c>
      <c r="C15">
        <v>14</v>
      </c>
      <c r="D15">
        <f t="shared" si="0"/>
        <v>13</v>
      </c>
      <c r="E15">
        <f t="shared" si="1"/>
        <v>1</v>
      </c>
      <c r="G15">
        <f>35000</f>
        <v>35000</v>
      </c>
      <c r="H15">
        <f t="shared" si="2"/>
        <v>-285000</v>
      </c>
      <c r="I15">
        <f t="shared" si="3"/>
        <v>3.8736640148818759E-2</v>
      </c>
      <c r="J15">
        <f t="shared" si="4"/>
        <v>-250000</v>
      </c>
      <c r="K15">
        <f t="shared" si="5"/>
        <v>-9684.1600372046905</v>
      </c>
      <c r="M15">
        <v>2</v>
      </c>
      <c r="N15">
        <v>14</v>
      </c>
      <c r="O15">
        <f t="shared" si="6"/>
        <v>12</v>
      </c>
      <c r="P15">
        <f t="shared" si="7"/>
        <v>2</v>
      </c>
      <c r="R15">
        <f t="shared" si="8"/>
        <v>70000</v>
      </c>
      <c r="S15">
        <f t="shared" si="9"/>
        <v>-290000</v>
      </c>
      <c r="T15">
        <f t="shared" si="10"/>
        <v>3.8736640148818759E-2</v>
      </c>
      <c r="U15">
        <f t="shared" si="11"/>
        <v>-220000</v>
      </c>
      <c r="V15">
        <f t="shared" si="12"/>
        <v>-8522.0608327401278</v>
      </c>
    </row>
    <row r="16" spans="2:22" x14ac:dyDescent="0.2">
      <c r="B16">
        <v>1</v>
      </c>
      <c r="C16">
        <v>15</v>
      </c>
      <c r="D16">
        <f t="shared" si="0"/>
        <v>14</v>
      </c>
      <c r="E16">
        <f t="shared" si="1"/>
        <v>1</v>
      </c>
      <c r="G16">
        <f>35000</f>
        <v>35000</v>
      </c>
      <c r="H16">
        <f t="shared" si="2"/>
        <v>-305000</v>
      </c>
      <c r="I16">
        <f t="shared" si="3"/>
        <v>5.1648853531758347E-2</v>
      </c>
      <c r="J16">
        <f t="shared" si="4"/>
        <v>-270000</v>
      </c>
      <c r="K16">
        <f t="shared" si="5"/>
        <v>-13945.190453574754</v>
      </c>
      <c r="M16">
        <v>2</v>
      </c>
      <c r="N16">
        <v>15</v>
      </c>
      <c r="O16">
        <f t="shared" si="6"/>
        <v>13</v>
      </c>
      <c r="P16">
        <f t="shared" si="7"/>
        <v>2</v>
      </c>
      <c r="R16">
        <f t="shared" si="8"/>
        <v>70000</v>
      </c>
      <c r="S16">
        <f t="shared" si="9"/>
        <v>-310000</v>
      </c>
      <c r="T16">
        <f t="shared" si="10"/>
        <v>5.1648853531758347E-2</v>
      </c>
      <c r="U16">
        <f t="shared" si="11"/>
        <v>-240000</v>
      </c>
      <c r="V16">
        <f t="shared" si="12"/>
        <v>-12395.724847622003</v>
      </c>
    </row>
    <row r="17" spans="2:22" x14ac:dyDescent="0.2">
      <c r="B17">
        <v>1</v>
      </c>
      <c r="C17">
        <v>16</v>
      </c>
      <c r="D17">
        <f t="shared" si="0"/>
        <v>15</v>
      </c>
      <c r="E17">
        <f t="shared" si="1"/>
        <v>1</v>
      </c>
      <c r="G17">
        <f>35000</f>
        <v>35000</v>
      </c>
      <c r="H17">
        <f t="shared" si="2"/>
        <v>-325000</v>
      </c>
      <c r="I17">
        <f t="shared" si="3"/>
        <v>6.4561066914697929E-2</v>
      </c>
      <c r="J17">
        <f t="shared" si="4"/>
        <v>-290000</v>
      </c>
      <c r="K17">
        <f t="shared" si="5"/>
        <v>-18722.709405262398</v>
      </c>
      <c r="M17">
        <v>2</v>
      </c>
      <c r="N17">
        <v>16</v>
      </c>
      <c r="O17">
        <f t="shared" si="6"/>
        <v>14</v>
      </c>
      <c r="P17">
        <f t="shared" si="7"/>
        <v>2</v>
      </c>
      <c r="R17">
        <f t="shared" si="8"/>
        <v>70000</v>
      </c>
      <c r="S17">
        <f t="shared" si="9"/>
        <v>-330000</v>
      </c>
      <c r="T17">
        <f t="shared" si="10"/>
        <v>6.4561066914697929E-2</v>
      </c>
      <c r="U17">
        <f t="shared" si="11"/>
        <v>-260000</v>
      </c>
      <c r="V17">
        <f t="shared" si="12"/>
        <v>-16785.877397821463</v>
      </c>
    </row>
    <row r="18" spans="2:22" x14ac:dyDescent="0.2">
      <c r="B18">
        <v>1</v>
      </c>
      <c r="C18">
        <v>17</v>
      </c>
      <c r="D18">
        <f t="shared" si="0"/>
        <v>16</v>
      </c>
      <c r="E18">
        <f t="shared" si="1"/>
        <v>1</v>
      </c>
      <c r="G18">
        <f>35000</f>
        <v>35000</v>
      </c>
      <c r="H18">
        <f t="shared" si="2"/>
        <v>-345000</v>
      </c>
      <c r="I18">
        <f t="shared" si="3"/>
        <v>7.595419637023286E-2</v>
      </c>
      <c r="J18">
        <f t="shared" si="4"/>
        <v>-310000</v>
      </c>
      <c r="K18">
        <f t="shared" si="5"/>
        <v>-23545.800874772187</v>
      </c>
      <c r="M18">
        <v>2</v>
      </c>
      <c r="N18">
        <v>17</v>
      </c>
      <c r="O18">
        <f t="shared" si="6"/>
        <v>15</v>
      </c>
      <c r="P18">
        <f t="shared" si="7"/>
        <v>2</v>
      </c>
      <c r="R18">
        <f t="shared" si="8"/>
        <v>70000</v>
      </c>
      <c r="S18">
        <f t="shared" si="9"/>
        <v>-350000</v>
      </c>
      <c r="T18">
        <f t="shared" si="10"/>
        <v>7.595419637023286E-2</v>
      </c>
      <c r="U18">
        <f t="shared" si="11"/>
        <v>-280000</v>
      </c>
      <c r="V18">
        <f t="shared" si="12"/>
        <v>-21267.174983665202</v>
      </c>
    </row>
    <row r="19" spans="2:22" x14ac:dyDescent="0.2">
      <c r="B19">
        <v>1</v>
      </c>
      <c r="C19">
        <v>18</v>
      </c>
      <c r="D19">
        <f t="shared" si="0"/>
        <v>17</v>
      </c>
      <c r="E19">
        <f t="shared" si="1"/>
        <v>1</v>
      </c>
      <c r="G19">
        <f>35000</f>
        <v>35000</v>
      </c>
      <c r="H19">
        <f t="shared" si="2"/>
        <v>-365000</v>
      </c>
      <c r="I19">
        <f t="shared" si="3"/>
        <v>8.4393551522480958E-2</v>
      </c>
      <c r="J19">
        <f t="shared" si="4"/>
        <v>-330000</v>
      </c>
      <c r="K19">
        <f t="shared" si="5"/>
        <v>-27849.872002418717</v>
      </c>
      <c r="M19">
        <v>2</v>
      </c>
      <c r="N19">
        <v>18</v>
      </c>
      <c r="O19">
        <f t="shared" si="6"/>
        <v>16</v>
      </c>
      <c r="P19">
        <f t="shared" si="7"/>
        <v>2</v>
      </c>
      <c r="R19">
        <f t="shared" si="8"/>
        <v>70000</v>
      </c>
      <c r="S19">
        <f t="shared" si="9"/>
        <v>-370000</v>
      </c>
      <c r="T19">
        <f t="shared" si="10"/>
        <v>8.4393551522480958E-2</v>
      </c>
      <c r="U19">
        <f t="shared" si="11"/>
        <v>-300000</v>
      </c>
      <c r="V19">
        <f t="shared" si="12"/>
        <v>-25318.065456744287</v>
      </c>
    </row>
    <row r="20" spans="2:22" x14ac:dyDescent="0.2">
      <c r="B20">
        <v>1</v>
      </c>
      <c r="C20">
        <v>19</v>
      </c>
      <c r="D20">
        <f t="shared" si="0"/>
        <v>18</v>
      </c>
      <c r="E20">
        <f t="shared" si="1"/>
        <v>1</v>
      </c>
      <c r="G20">
        <f>35000</f>
        <v>35000</v>
      </c>
      <c r="H20">
        <f t="shared" si="2"/>
        <v>-385000</v>
      </c>
      <c r="I20">
        <f t="shared" si="3"/>
        <v>8.8835317392085222E-2</v>
      </c>
      <c r="J20">
        <f t="shared" si="4"/>
        <v>-350000</v>
      </c>
      <c r="K20">
        <f t="shared" si="5"/>
        <v>-31092.361087229827</v>
      </c>
      <c r="M20">
        <v>2</v>
      </c>
      <c r="N20">
        <v>19</v>
      </c>
      <c r="O20">
        <f t="shared" si="6"/>
        <v>17</v>
      </c>
      <c r="P20">
        <f t="shared" si="7"/>
        <v>2</v>
      </c>
      <c r="R20">
        <f t="shared" si="8"/>
        <v>70000</v>
      </c>
      <c r="S20">
        <f t="shared" si="9"/>
        <v>-390000</v>
      </c>
      <c r="T20">
        <f t="shared" si="10"/>
        <v>8.8835317392085222E-2</v>
      </c>
      <c r="U20">
        <f t="shared" si="11"/>
        <v>-320000</v>
      </c>
      <c r="V20">
        <f t="shared" si="12"/>
        <v>-28427.301565467271</v>
      </c>
    </row>
    <row r="21" spans="2:22" x14ac:dyDescent="0.2">
      <c r="B21">
        <v>1</v>
      </c>
      <c r="C21">
        <v>20</v>
      </c>
      <c r="D21">
        <f t="shared" si="0"/>
        <v>19</v>
      </c>
      <c r="E21">
        <f t="shared" si="1"/>
        <v>1</v>
      </c>
      <c r="G21">
        <f>35000</f>
        <v>35000</v>
      </c>
      <c r="H21">
        <f t="shared" si="2"/>
        <v>-405000</v>
      </c>
      <c r="I21">
        <f t="shared" si="3"/>
        <v>8.8835317392085208E-2</v>
      </c>
      <c r="J21">
        <f t="shared" si="4"/>
        <v>-370000</v>
      </c>
      <c r="K21">
        <f t="shared" si="5"/>
        <v>-32869.067435071527</v>
      </c>
      <c r="M21">
        <v>2</v>
      </c>
      <c r="N21">
        <v>20</v>
      </c>
      <c r="O21">
        <f t="shared" si="6"/>
        <v>18</v>
      </c>
      <c r="P21">
        <f t="shared" si="7"/>
        <v>2</v>
      </c>
      <c r="R21">
        <f t="shared" si="8"/>
        <v>70000</v>
      </c>
      <c r="S21">
        <f t="shared" si="9"/>
        <v>-410000</v>
      </c>
      <c r="T21">
        <f t="shared" si="10"/>
        <v>8.8835317392085208E-2</v>
      </c>
      <c r="U21">
        <f t="shared" si="11"/>
        <v>-340000</v>
      </c>
      <c r="V21">
        <f t="shared" si="12"/>
        <v>-30204.007913308971</v>
      </c>
    </row>
    <row r="22" spans="2:22" x14ac:dyDescent="0.2">
      <c r="B22">
        <v>1</v>
      </c>
      <c r="C22">
        <v>21</v>
      </c>
      <c r="D22">
        <f t="shared" si="0"/>
        <v>20</v>
      </c>
      <c r="E22">
        <f t="shared" si="1"/>
        <v>1</v>
      </c>
      <c r="G22">
        <f>35000</f>
        <v>35000</v>
      </c>
      <c r="H22">
        <f t="shared" si="2"/>
        <v>-425000</v>
      </c>
      <c r="I22">
        <f t="shared" si="3"/>
        <v>8.4605064182938311E-2</v>
      </c>
      <c r="J22">
        <f t="shared" si="4"/>
        <v>-390000</v>
      </c>
      <c r="K22">
        <f t="shared" si="5"/>
        <v>-32995.975031345944</v>
      </c>
      <c r="M22">
        <v>2</v>
      </c>
      <c r="N22">
        <v>21</v>
      </c>
      <c r="O22">
        <f t="shared" si="6"/>
        <v>19</v>
      </c>
      <c r="P22">
        <f t="shared" si="7"/>
        <v>2</v>
      </c>
      <c r="R22">
        <f t="shared" si="8"/>
        <v>70000</v>
      </c>
      <c r="S22">
        <f t="shared" si="9"/>
        <v>-430000</v>
      </c>
      <c r="T22">
        <f t="shared" si="10"/>
        <v>8.4605064182938311E-2</v>
      </c>
      <c r="U22">
        <f t="shared" si="11"/>
        <v>-360000</v>
      </c>
      <c r="V22">
        <f t="shared" si="12"/>
        <v>-30457.823105857791</v>
      </c>
    </row>
    <row r="23" spans="2:22" x14ac:dyDescent="0.2">
      <c r="B23">
        <v>1</v>
      </c>
      <c r="C23">
        <v>22</v>
      </c>
      <c r="D23">
        <f t="shared" si="0"/>
        <v>21</v>
      </c>
      <c r="E23">
        <f t="shared" si="1"/>
        <v>1</v>
      </c>
      <c r="G23">
        <f>35000</f>
        <v>35000</v>
      </c>
      <c r="H23">
        <f t="shared" si="2"/>
        <v>-445000</v>
      </c>
      <c r="I23">
        <f t="shared" si="3"/>
        <v>7.6913694711762098E-2</v>
      </c>
      <c r="J23">
        <f t="shared" si="4"/>
        <v>-410000</v>
      </c>
      <c r="K23">
        <f t="shared" si="5"/>
        <v>-31534.614831822459</v>
      </c>
      <c r="M23">
        <v>2</v>
      </c>
      <c r="N23">
        <v>22</v>
      </c>
      <c r="O23">
        <f t="shared" si="6"/>
        <v>20</v>
      </c>
      <c r="P23">
        <f t="shared" si="7"/>
        <v>2</v>
      </c>
      <c r="R23">
        <f t="shared" si="8"/>
        <v>70000</v>
      </c>
      <c r="S23">
        <f t="shared" si="9"/>
        <v>-450000</v>
      </c>
      <c r="T23">
        <f t="shared" si="10"/>
        <v>7.6913694711762098E-2</v>
      </c>
      <c r="U23">
        <f t="shared" si="11"/>
        <v>-380000</v>
      </c>
      <c r="V23">
        <f t="shared" si="12"/>
        <v>-29227.203990469596</v>
      </c>
    </row>
    <row r="24" spans="2:22" x14ac:dyDescent="0.2">
      <c r="B24">
        <v>1</v>
      </c>
      <c r="C24">
        <v>23</v>
      </c>
      <c r="D24">
        <f t="shared" si="0"/>
        <v>22</v>
      </c>
      <c r="E24">
        <f t="shared" si="1"/>
        <v>1</v>
      </c>
      <c r="G24">
        <f>35000</f>
        <v>35000</v>
      </c>
      <c r="H24">
        <f t="shared" si="2"/>
        <v>-465000</v>
      </c>
      <c r="I24">
        <f t="shared" si="3"/>
        <v>6.6881473662401811E-2</v>
      </c>
      <c r="J24">
        <f t="shared" si="4"/>
        <v>-430000</v>
      </c>
      <c r="K24">
        <f t="shared" si="5"/>
        <v>-28759.033674832779</v>
      </c>
      <c r="M24">
        <v>2</v>
      </c>
      <c r="N24">
        <v>23</v>
      </c>
      <c r="O24">
        <f t="shared" si="6"/>
        <v>21</v>
      </c>
      <c r="P24">
        <f t="shared" si="7"/>
        <v>2</v>
      </c>
      <c r="R24">
        <f t="shared" si="8"/>
        <v>70000</v>
      </c>
      <c r="S24">
        <f t="shared" si="9"/>
        <v>-470000</v>
      </c>
      <c r="T24">
        <f t="shared" si="10"/>
        <v>6.6881473662401811E-2</v>
      </c>
      <c r="U24">
        <f t="shared" si="11"/>
        <v>-400000</v>
      </c>
      <c r="V24">
        <f t="shared" si="12"/>
        <v>-26752.589464960725</v>
      </c>
    </row>
    <row r="25" spans="2:22" x14ac:dyDescent="0.2">
      <c r="B25">
        <v>1</v>
      </c>
      <c r="C25">
        <v>24</v>
      </c>
      <c r="D25">
        <f t="shared" si="0"/>
        <v>23</v>
      </c>
      <c r="E25">
        <f t="shared" si="1"/>
        <v>1</v>
      </c>
      <c r="G25">
        <f>35000</f>
        <v>35000</v>
      </c>
      <c r="H25">
        <f t="shared" si="2"/>
        <v>-485000</v>
      </c>
      <c r="I25">
        <f t="shared" si="3"/>
        <v>5.5734561385334849E-2</v>
      </c>
      <c r="J25">
        <f t="shared" si="4"/>
        <v>-450000</v>
      </c>
      <c r="K25">
        <f t="shared" si="5"/>
        <v>-25080.552623400683</v>
      </c>
      <c r="M25">
        <v>2</v>
      </c>
      <c r="N25">
        <v>24</v>
      </c>
      <c r="O25">
        <f t="shared" si="6"/>
        <v>22</v>
      </c>
      <c r="P25">
        <f t="shared" si="7"/>
        <v>2</v>
      </c>
      <c r="R25">
        <f t="shared" si="8"/>
        <v>70000</v>
      </c>
      <c r="S25">
        <f t="shared" si="9"/>
        <v>-490000</v>
      </c>
      <c r="T25">
        <f t="shared" si="10"/>
        <v>5.5734561385334849E-2</v>
      </c>
      <c r="U25">
        <f t="shared" si="11"/>
        <v>-420000</v>
      </c>
      <c r="V25">
        <f t="shared" si="12"/>
        <v>-23408.515781840637</v>
      </c>
    </row>
    <row r="26" spans="2:22" x14ac:dyDescent="0.2">
      <c r="B26">
        <v>1</v>
      </c>
      <c r="C26">
        <v>25</v>
      </c>
      <c r="D26">
        <f t="shared" si="0"/>
        <v>24</v>
      </c>
      <c r="E26">
        <f t="shared" si="1"/>
        <v>1</v>
      </c>
      <c r="G26">
        <f>35000</f>
        <v>35000</v>
      </c>
      <c r="H26">
        <f t="shared" si="2"/>
        <v>-505000</v>
      </c>
      <c r="I26">
        <f t="shared" si="3"/>
        <v>4.4587649108267888E-2</v>
      </c>
      <c r="J26">
        <f t="shared" si="4"/>
        <v>-470000</v>
      </c>
      <c r="K26">
        <f t="shared" si="5"/>
        <v>-20956.195080885907</v>
      </c>
      <c r="M26">
        <v>2</v>
      </c>
      <c r="N26">
        <v>25</v>
      </c>
      <c r="O26">
        <f t="shared" si="6"/>
        <v>23</v>
      </c>
      <c r="P26">
        <f t="shared" si="7"/>
        <v>2</v>
      </c>
      <c r="R26">
        <f t="shared" si="8"/>
        <v>70000</v>
      </c>
      <c r="S26">
        <f t="shared" si="9"/>
        <v>-510000</v>
      </c>
      <c r="T26">
        <f t="shared" si="10"/>
        <v>4.4587649108267888E-2</v>
      </c>
      <c r="U26">
        <f t="shared" si="11"/>
        <v>-440000</v>
      </c>
      <c r="V26">
        <f t="shared" si="12"/>
        <v>-19618.565607637869</v>
      </c>
    </row>
    <row r="27" spans="2:22" x14ac:dyDescent="0.2">
      <c r="B27">
        <v>1</v>
      </c>
      <c r="C27">
        <v>26</v>
      </c>
      <c r="D27">
        <f t="shared" si="0"/>
        <v>25</v>
      </c>
      <c r="E27">
        <f t="shared" si="1"/>
        <v>1</v>
      </c>
      <c r="G27">
        <f>35000</f>
        <v>35000</v>
      </c>
      <c r="H27">
        <f t="shared" si="2"/>
        <v>-525000</v>
      </c>
      <c r="I27">
        <f t="shared" si="3"/>
        <v>3.4298191621744523E-2</v>
      </c>
      <c r="J27">
        <f t="shared" si="4"/>
        <v>-490000</v>
      </c>
      <c r="K27">
        <f t="shared" si="5"/>
        <v>-16806.113894654816</v>
      </c>
      <c r="M27">
        <v>2</v>
      </c>
      <c r="N27">
        <v>26</v>
      </c>
      <c r="O27">
        <f t="shared" si="6"/>
        <v>24</v>
      </c>
      <c r="P27">
        <f t="shared" si="7"/>
        <v>2</v>
      </c>
      <c r="R27">
        <f t="shared" si="8"/>
        <v>70000</v>
      </c>
      <c r="S27">
        <f t="shared" si="9"/>
        <v>-530000</v>
      </c>
      <c r="T27">
        <f t="shared" si="10"/>
        <v>3.4298191621744523E-2</v>
      </c>
      <c r="U27">
        <f t="shared" si="11"/>
        <v>-460000</v>
      </c>
      <c r="V27">
        <f t="shared" si="12"/>
        <v>-15777.168146002481</v>
      </c>
    </row>
    <row r="28" spans="2:22" x14ac:dyDescent="0.2">
      <c r="B28">
        <v>1</v>
      </c>
      <c r="C28">
        <v>27</v>
      </c>
      <c r="D28">
        <f t="shared" si="0"/>
        <v>26</v>
      </c>
      <c r="E28">
        <f t="shared" si="1"/>
        <v>1</v>
      </c>
      <c r="G28">
        <f>35000</f>
        <v>35000</v>
      </c>
      <c r="H28">
        <f t="shared" si="2"/>
        <v>-545000</v>
      </c>
      <c r="I28">
        <f t="shared" si="3"/>
        <v>2.5406067867958907E-2</v>
      </c>
      <c r="J28">
        <f t="shared" si="4"/>
        <v>-510000</v>
      </c>
      <c r="K28">
        <f t="shared" si="5"/>
        <v>-12957.094612659042</v>
      </c>
      <c r="M28">
        <v>2</v>
      </c>
      <c r="N28">
        <v>27</v>
      </c>
      <c r="O28">
        <f t="shared" si="6"/>
        <v>25</v>
      </c>
      <c r="P28">
        <f t="shared" si="7"/>
        <v>2</v>
      </c>
      <c r="R28">
        <f t="shared" si="8"/>
        <v>70000</v>
      </c>
      <c r="S28">
        <f t="shared" si="9"/>
        <v>-550000</v>
      </c>
      <c r="T28">
        <f t="shared" si="10"/>
        <v>2.5406067867958907E-2</v>
      </c>
      <c r="U28">
        <f t="shared" si="11"/>
        <v>-480000</v>
      </c>
      <c r="V28">
        <f t="shared" si="12"/>
        <v>-12194.912576620276</v>
      </c>
    </row>
    <row r="29" spans="2:22" x14ac:dyDescent="0.2">
      <c r="B29">
        <v>1</v>
      </c>
      <c r="C29">
        <v>28</v>
      </c>
      <c r="D29">
        <f t="shared" si="0"/>
        <v>27</v>
      </c>
      <c r="E29">
        <f t="shared" si="1"/>
        <v>1</v>
      </c>
      <c r="G29">
        <f>35000</f>
        <v>35000</v>
      </c>
      <c r="H29">
        <f t="shared" si="2"/>
        <v>-565000</v>
      </c>
      <c r="I29">
        <f t="shared" si="3"/>
        <v>1.8147191334256366E-2</v>
      </c>
      <c r="J29">
        <f t="shared" si="4"/>
        <v>-530000</v>
      </c>
      <c r="K29">
        <f t="shared" si="5"/>
        <v>-9618.0114071558746</v>
      </c>
      <c r="M29">
        <v>2</v>
      </c>
      <c r="N29">
        <v>28</v>
      </c>
      <c r="O29">
        <f t="shared" si="6"/>
        <v>26</v>
      </c>
      <c r="P29">
        <f t="shared" si="7"/>
        <v>2</v>
      </c>
      <c r="R29">
        <f t="shared" si="8"/>
        <v>70000</v>
      </c>
      <c r="S29">
        <f t="shared" si="9"/>
        <v>-570000</v>
      </c>
      <c r="T29">
        <f t="shared" si="10"/>
        <v>1.8147191334256366E-2</v>
      </c>
      <c r="U29">
        <f t="shared" si="11"/>
        <v>-500000</v>
      </c>
      <c r="V29">
        <f t="shared" si="12"/>
        <v>-9073.595667128182</v>
      </c>
    </row>
    <row r="30" spans="2:22" x14ac:dyDescent="0.2">
      <c r="B30">
        <v>1</v>
      </c>
      <c r="C30">
        <v>29</v>
      </c>
      <c r="D30">
        <f t="shared" si="0"/>
        <v>28</v>
      </c>
      <c r="E30">
        <f t="shared" si="1"/>
        <v>1</v>
      </c>
      <c r="G30">
        <f>35000</f>
        <v>35000</v>
      </c>
      <c r="H30">
        <f t="shared" si="2"/>
        <v>-585000</v>
      </c>
      <c r="I30">
        <f t="shared" si="3"/>
        <v>1.2515304368452664E-2</v>
      </c>
      <c r="J30">
        <f t="shared" si="4"/>
        <v>-550000</v>
      </c>
      <c r="K30">
        <f t="shared" si="5"/>
        <v>-6883.4174026489654</v>
      </c>
      <c r="M30">
        <v>2</v>
      </c>
      <c r="N30">
        <v>29</v>
      </c>
      <c r="O30">
        <f t="shared" si="6"/>
        <v>27</v>
      </c>
      <c r="P30">
        <f t="shared" si="7"/>
        <v>2</v>
      </c>
      <c r="R30">
        <f t="shared" si="8"/>
        <v>70000</v>
      </c>
      <c r="S30">
        <f t="shared" si="9"/>
        <v>-590000</v>
      </c>
      <c r="T30">
        <f t="shared" si="10"/>
        <v>1.2515304368452664E-2</v>
      </c>
      <c r="U30">
        <f t="shared" si="11"/>
        <v>-520000</v>
      </c>
      <c r="V30">
        <f t="shared" si="12"/>
        <v>-6507.9582715953857</v>
      </c>
    </row>
    <row r="31" spans="2:22" x14ac:dyDescent="0.2">
      <c r="B31">
        <v>1</v>
      </c>
      <c r="C31">
        <v>30</v>
      </c>
      <c r="D31">
        <f t="shared" si="0"/>
        <v>29</v>
      </c>
      <c r="E31">
        <f t="shared" si="1"/>
        <v>1</v>
      </c>
      <c r="G31">
        <f>35000</f>
        <v>35000</v>
      </c>
      <c r="H31">
        <f t="shared" si="2"/>
        <v>-605000</v>
      </c>
      <c r="I31">
        <f t="shared" si="3"/>
        <v>8.3435362456351081E-3</v>
      </c>
      <c r="J31">
        <f t="shared" si="4"/>
        <v>-570000</v>
      </c>
      <c r="K31">
        <f t="shared" si="5"/>
        <v>-4755.8156600120119</v>
      </c>
      <c r="M31">
        <v>2</v>
      </c>
      <c r="N31">
        <v>30</v>
      </c>
      <c r="O31">
        <f t="shared" si="6"/>
        <v>28</v>
      </c>
      <c r="P31">
        <f t="shared" si="7"/>
        <v>2</v>
      </c>
      <c r="R31">
        <f t="shared" si="8"/>
        <v>70000</v>
      </c>
      <c r="S31">
        <f t="shared" si="9"/>
        <v>-610000</v>
      </c>
      <c r="T31">
        <f t="shared" si="10"/>
        <v>8.3435362456351081E-3</v>
      </c>
      <c r="U31">
        <f t="shared" si="11"/>
        <v>-540000</v>
      </c>
      <c r="V31">
        <f t="shared" si="12"/>
        <v>-4505.5095726429581</v>
      </c>
    </row>
    <row r="32" spans="2:22" x14ac:dyDescent="0.2">
      <c r="B32">
        <v>1</v>
      </c>
      <c r="C32">
        <v>31</v>
      </c>
      <c r="D32">
        <f t="shared" si="0"/>
        <v>30</v>
      </c>
      <c r="E32">
        <f t="shared" si="1"/>
        <v>1</v>
      </c>
      <c r="G32">
        <f>35000</f>
        <v>35000</v>
      </c>
      <c r="H32">
        <f t="shared" si="2"/>
        <v>-625000</v>
      </c>
      <c r="I32">
        <f t="shared" si="3"/>
        <v>5.3829266100871662E-3</v>
      </c>
      <c r="J32">
        <f t="shared" si="4"/>
        <v>-590000</v>
      </c>
      <c r="K32">
        <f t="shared" si="5"/>
        <v>-3175.926699951428</v>
      </c>
      <c r="M32">
        <v>2</v>
      </c>
      <c r="N32">
        <v>31</v>
      </c>
      <c r="O32">
        <f t="shared" si="6"/>
        <v>29</v>
      </c>
      <c r="P32">
        <f t="shared" si="7"/>
        <v>2</v>
      </c>
      <c r="R32">
        <f t="shared" si="8"/>
        <v>70000</v>
      </c>
      <c r="S32">
        <f t="shared" si="9"/>
        <v>-630000</v>
      </c>
      <c r="T32">
        <f t="shared" si="10"/>
        <v>5.3829266100871662E-3</v>
      </c>
      <c r="U32">
        <f t="shared" si="11"/>
        <v>-560000</v>
      </c>
      <c r="V32">
        <f t="shared" si="12"/>
        <v>-3014.438901648813</v>
      </c>
    </row>
    <row r="33" spans="2:22" x14ac:dyDescent="0.2">
      <c r="B33">
        <v>1</v>
      </c>
      <c r="C33">
        <v>32</v>
      </c>
      <c r="D33">
        <f t="shared" si="0"/>
        <v>31</v>
      </c>
      <c r="E33">
        <f t="shared" si="1"/>
        <v>1</v>
      </c>
      <c r="G33">
        <f>35000</f>
        <v>35000</v>
      </c>
      <c r="H33">
        <f t="shared" si="2"/>
        <v>-645000</v>
      </c>
      <c r="I33">
        <f t="shared" si="3"/>
        <v>3.3643291313044795E-3</v>
      </c>
      <c r="J33">
        <f t="shared" si="4"/>
        <v>-610000</v>
      </c>
      <c r="K33">
        <f t="shared" si="5"/>
        <v>-2052.2407700957324</v>
      </c>
      <c r="M33">
        <v>2</v>
      </c>
      <c r="N33">
        <v>32</v>
      </c>
      <c r="O33">
        <f t="shared" si="6"/>
        <v>30</v>
      </c>
      <c r="P33">
        <f t="shared" si="7"/>
        <v>2</v>
      </c>
      <c r="R33">
        <f t="shared" si="8"/>
        <v>70000</v>
      </c>
      <c r="S33">
        <f t="shared" si="9"/>
        <v>-650000</v>
      </c>
      <c r="T33">
        <f t="shared" si="10"/>
        <v>3.3643291313044795E-3</v>
      </c>
      <c r="U33">
        <f t="shared" si="11"/>
        <v>-580000</v>
      </c>
      <c r="V33">
        <f t="shared" si="12"/>
        <v>-1951.3108961565981</v>
      </c>
    </row>
    <row r="34" spans="2:22" x14ac:dyDescent="0.2">
      <c r="B34">
        <v>1</v>
      </c>
      <c r="C34">
        <v>33</v>
      </c>
      <c r="D34">
        <f t="shared" si="0"/>
        <v>32</v>
      </c>
      <c r="E34">
        <f t="shared" si="1"/>
        <v>1</v>
      </c>
      <c r="G34">
        <f>35000</f>
        <v>35000</v>
      </c>
      <c r="H34">
        <f t="shared" si="2"/>
        <v>-665000</v>
      </c>
      <c r="I34">
        <f t="shared" si="3"/>
        <v>2.0389873523057444E-3</v>
      </c>
      <c r="J34">
        <f t="shared" si="4"/>
        <v>-630000</v>
      </c>
      <c r="K34">
        <f t="shared" si="5"/>
        <v>-1284.562031952619</v>
      </c>
      <c r="M34">
        <v>2</v>
      </c>
      <c r="N34">
        <v>33</v>
      </c>
      <c r="O34">
        <f t="shared" si="6"/>
        <v>31</v>
      </c>
      <c r="P34">
        <f t="shared" si="7"/>
        <v>2</v>
      </c>
      <c r="R34">
        <f t="shared" si="8"/>
        <v>70000</v>
      </c>
      <c r="S34">
        <f t="shared" si="9"/>
        <v>-670000</v>
      </c>
      <c r="T34">
        <f t="shared" si="10"/>
        <v>2.0389873523057444E-3</v>
      </c>
      <c r="U34">
        <f t="shared" si="11"/>
        <v>-600000</v>
      </c>
      <c r="V34">
        <f t="shared" si="12"/>
        <v>-1223.3924113834466</v>
      </c>
    </row>
    <row r="35" spans="2:22" x14ac:dyDescent="0.2">
      <c r="B35">
        <v>1</v>
      </c>
      <c r="C35">
        <v>34</v>
      </c>
      <c r="D35">
        <f t="shared" si="0"/>
        <v>33</v>
      </c>
      <c r="E35">
        <f t="shared" si="1"/>
        <v>1</v>
      </c>
      <c r="G35">
        <f>35000</f>
        <v>35000</v>
      </c>
      <c r="H35">
        <f t="shared" si="2"/>
        <v>-685000</v>
      </c>
      <c r="I35">
        <f t="shared" si="3"/>
        <v>1.1994043248857325E-3</v>
      </c>
      <c r="J35">
        <f t="shared" si="4"/>
        <v>-650000</v>
      </c>
      <c r="K35">
        <f t="shared" si="5"/>
        <v>-779.61281117572616</v>
      </c>
      <c r="M35">
        <v>2</v>
      </c>
      <c r="N35">
        <v>34</v>
      </c>
      <c r="O35">
        <f t="shared" si="6"/>
        <v>32</v>
      </c>
      <c r="P35">
        <f t="shared" si="7"/>
        <v>2</v>
      </c>
      <c r="R35">
        <f t="shared" si="8"/>
        <v>70000</v>
      </c>
      <c r="S35">
        <f t="shared" si="9"/>
        <v>-690000</v>
      </c>
      <c r="T35">
        <f t="shared" si="10"/>
        <v>1.1994043248857325E-3</v>
      </c>
      <c r="U35">
        <f t="shared" si="11"/>
        <v>-620000</v>
      </c>
      <c r="V35">
        <f t="shared" si="12"/>
        <v>-743.63068142915415</v>
      </c>
    </row>
    <row r="36" spans="2:22" x14ac:dyDescent="0.2">
      <c r="B36">
        <v>1</v>
      </c>
      <c r="C36">
        <v>35</v>
      </c>
      <c r="D36">
        <f t="shared" si="0"/>
        <v>34</v>
      </c>
      <c r="E36">
        <f t="shared" si="1"/>
        <v>1</v>
      </c>
      <c r="G36">
        <f>35000</f>
        <v>35000</v>
      </c>
      <c r="H36">
        <f t="shared" si="2"/>
        <v>-705000</v>
      </c>
      <c r="I36">
        <f t="shared" si="3"/>
        <v>6.8537389993470431E-4</v>
      </c>
      <c r="J36">
        <f t="shared" si="4"/>
        <v>-670000</v>
      </c>
      <c r="K36">
        <f t="shared" si="5"/>
        <v>-459.20051295625188</v>
      </c>
      <c r="M36">
        <v>2</v>
      </c>
      <c r="N36">
        <v>35</v>
      </c>
      <c r="O36">
        <f t="shared" si="6"/>
        <v>33</v>
      </c>
      <c r="P36">
        <f t="shared" si="7"/>
        <v>2</v>
      </c>
      <c r="R36">
        <f t="shared" si="8"/>
        <v>70000</v>
      </c>
      <c r="S36">
        <f t="shared" si="9"/>
        <v>-710000</v>
      </c>
      <c r="T36">
        <f t="shared" si="10"/>
        <v>6.8537389993470431E-4</v>
      </c>
      <c r="U36">
        <f t="shared" si="11"/>
        <v>-640000</v>
      </c>
      <c r="V36">
        <f t="shared" si="12"/>
        <v>-438.63929595821077</v>
      </c>
    </row>
    <row r="37" spans="2:22" x14ac:dyDescent="0.2">
      <c r="B37">
        <v>1</v>
      </c>
      <c r="C37">
        <v>36</v>
      </c>
      <c r="D37">
        <f t="shared" si="0"/>
        <v>35</v>
      </c>
      <c r="E37">
        <f t="shared" si="1"/>
        <v>1</v>
      </c>
      <c r="G37">
        <f>35000</f>
        <v>35000</v>
      </c>
      <c r="H37">
        <f t="shared" si="2"/>
        <v>-725000</v>
      </c>
      <c r="I37">
        <f t="shared" si="3"/>
        <v>3.8076327774150227E-4</v>
      </c>
      <c r="J37">
        <f t="shared" si="4"/>
        <v>-690000</v>
      </c>
      <c r="K37">
        <f t="shared" si="5"/>
        <v>-262.72666164163655</v>
      </c>
      <c r="M37">
        <v>2</v>
      </c>
      <c r="N37">
        <v>36</v>
      </c>
      <c r="O37">
        <f t="shared" si="6"/>
        <v>34</v>
      </c>
      <c r="P37">
        <f t="shared" si="7"/>
        <v>2</v>
      </c>
      <c r="R37">
        <f t="shared" si="8"/>
        <v>70000</v>
      </c>
      <c r="S37">
        <f t="shared" si="9"/>
        <v>-730000</v>
      </c>
      <c r="T37">
        <f t="shared" si="10"/>
        <v>3.8076327774150227E-4</v>
      </c>
      <c r="U37">
        <f t="shared" si="11"/>
        <v>-660000</v>
      </c>
      <c r="V37">
        <f t="shared" si="12"/>
        <v>-251.30376330939148</v>
      </c>
    </row>
    <row r="38" spans="2:22" x14ac:dyDescent="0.2">
      <c r="B38">
        <v>1</v>
      </c>
      <c r="C38">
        <v>37</v>
      </c>
      <c r="D38">
        <f t="shared" si="0"/>
        <v>36</v>
      </c>
      <c r="E38">
        <f t="shared" si="1"/>
        <v>1</v>
      </c>
      <c r="G38">
        <f>35000</f>
        <v>35000</v>
      </c>
      <c r="H38">
        <f t="shared" si="2"/>
        <v>-745000</v>
      </c>
      <c r="I38">
        <f t="shared" si="3"/>
        <v>2.0581798796837967E-4</v>
      </c>
      <c r="J38">
        <f t="shared" si="4"/>
        <v>-710000</v>
      </c>
      <c r="K38">
        <f t="shared" si="5"/>
        <v>-146.13077145754957</v>
      </c>
      <c r="M38">
        <v>2</v>
      </c>
      <c r="N38">
        <v>37</v>
      </c>
      <c r="O38">
        <f t="shared" si="6"/>
        <v>35</v>
      </c>
      <c r="P38">
        <f t="shared" si="7"/>
        <v>2</v>
      </c>
      <c r="R38">
        <f t="shared" si="8"/>
        <v>70000</v>
      </c>
      <c r="S38">
        <f t="shared" si="9"/>
        <v>-750000</v>
      </c>
      <c r="T38">
        <f t="shared" si="10"/>
        <v>2.0581798796837967E-4</v>
      </c>
      <c r="U38">
        <f t="shared" si="11"/>
        <v>-680000</v>
      </c>
      <c r="V38">
        <f t="shared" si="12"/>
        <v>-139.95623181849817</v>
      </c>
    </row>
    <row r="39" spans="2:22" x14ac:dyDescent="0.2">
      <c r="B39">
        <v>1</v>
      </c>
      <c r="C39">
        <v>38</v>
      </c>
      <c r="D39">
        <f t="shared" si="0"/>
        <v>37</v>
      </c>
      <c r="E39">
        <f t="shared" si="1"/>
        <v>1</v>
      </c>
      <c r="G39">
        <f>35000</f>
        <v>35000</v>
      </c>
      <c r="H39">
        <f t="shared" si="2"/>
        <v>-765000</v>
      </c>
      <c r="I39">
        <f t="shared" si="3"/>
        <v>1.0832525682546299E-4</v>
      </c>
      <c r="J39">
        <f t="shared" si="4"/>
        <v>-730000</v>
      </c>
      <c r="K39">
        <f t="shared" si="5"/>
        <v>-79.077437482587982</v>
      </c>
      <c r="M39">
        <v>2</v>
      </c>
      <c r="N39">
        <v>38</v>
      </c>
      <c r="O39">
        <f t="shared" si="6"/>
        <v>36</v>
      </c>
      <c r="P39">
        <f t="shared" si="7"/>
        <v>2</v>
      </c>
      <c r="R39">
        <f t="shared" si="8"/>
        <v>70000</v>
      </c>
      <c r="S39">
        <f t="shared" si="9"/>
        <v>-770000</v>
      </c>
      <c r="T39">
        <f t="shared" si="10"/>
        <v>1.0832525682546299E-4</v>
      </c>
      <c r="U39">
        <f t="shared" si="11"/>
        <v>-700000</v>
      </c>
      <c r="V39">
        <f t="shared" si="12"/>
        <v>-75.827679777824088</v>
      </c>
    </row>
    <row r="40" spans="2:22" x14ac:dyDescent="0.2">
      <c r="B40">
        <v>1</v>
      </c>
      <c r="C40">
        <v>39</v>
      </c>
      <c r="D40">
        <f t="shared" si="0"/>
        <v>38</v>
      </c>
      <c r="E40">
        <f t="shared" si="1"/>
        <v>1</v>
      </c>
      <c r="G40">
        <f>35000</f>
        <v>35000</v>
      </c>
      <c r="H40">
        <f t="shared" si="2"/>
        <v>-785000</v>
      </c>
      <c r="I40">
        <f t="shared" si="3"/>
        <v>5.5551413756647675E-5</v>
      </c>
      <c r="J40">
        <f t="shared" si="4"/>
        <v>-750000</v>
      </c>
      <c r="K40">
        <f t="shared" si="5"/>
        <v>-41.663560317485754</v>
      </c>
      <c r="M40">
        <v>2</v>
      </c>
      <c r="N40">
        <v>39</v>
      </c>
      <c r="O40">
        <f t="shared" si="6"/>
        <v>37</v>
      </c>
      <c r="P40">
        <f t="shared" si="7"/>
        <v>2</v>
      </c>
      <c r="R40">
        <f t="shared" si="8"/>
        <v>70000</v>
      </c>
      <c r="S40">
        <f t="shared" si="9"/>
        <v>-790000</v>
      </c>
      <c r="T40">
        <f t="shared" si="10"/>
        <v>5.5551413756647675E-5</v>
      </c>
      <c r="U40">
        <f t="shared" si="11"/>
        <v>-720000</v>
      </c>
      <c r="V40">
        <f t="shared" si="12"/>
        <v>-39.997017904786325</v>
      </c>
    </row>
    <row r="41" spans="2:22" x14ac:dyDescent="0.2">
      <c r="B41">
        <v>1</v>
      </c>
      <c r="C41">
        <v>40</v>
      </c>
      <c r="D41">
        <f t="shared" si="0"/>
        <v>39</v>
      </c>
      <c r="E41">
        <f t="shared" si="1"/>
        <v>1</v>
      </c>
      <c r="G41">
        <f>35000</f>
        <v>35000</v>
      </c>
      <c r="H41">
        <f t="shared" si="2"/>
        <v>-805000</v>
      </c>
      <c r="I41">
        <f t="shared" si="3"/>
        <v>2.7775706878323827E-5</v>
      </c>
      <c r="J41">
        <f t="shared" si="4"/>
        <v>-770000</v>
      </c>
      <c r="K41">
        <f t="shared" si="5"/>
        <v>-21.387294296309346</v>
      </c>
      <c r="M41">
        <v>2</v>
      </c>
      <c r="N41">
        <v>40</v>
      </c>
      <c r="O41">
        <f t="shared" si="6"/>
        <v>38</v>
      </c>
      <c r="P41">
        <f t="shared" si="7"/>
        <v>2</v>
      </c>
      <c r="R41">
        <f t="shared" si="8"/>
        <v>70000</v>
      </c>
      <c r="S41">
        <f t="shared" si="9"/>
        <v>-810000</v>
      </c>
      <c r="T41">
        <f t="shared" si="10"/>
        <v>2.7775706878323827E-5</v>
      </c>
      <c r="U41">
        <f t="shared" si="11"/>
        <v>-740000</v>
      </c>
      <c r="V41">
        <f t="shared" si="12"/>
        <v>-20.554023089959632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주사위</vt:lpstr>
      <vt:lpstr>(1)</vt:lpstr>
      <vt:lpstr>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 Joo Kim</dc:creator>
  <cp:lastModifiedBy>Gi Joo Kim</cp:lastModifiedBy>
  <dcterms:created xsi:type="dcterms:W3CDTF">2021-09-15T01:44:37Z</dcterms:created>
  <dcterms:modified xsi:type="dcterms:W3CDTF">2022-09-22T02:20:43Z</dcterms:modified>
</cp:coreProperties>
</file>