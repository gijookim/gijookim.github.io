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3"/>
  <workbookPr filterPrivacy="1"/>
  <xr:revisionPtr revIDLastSave="0" documentId="13_ncr:1_{F94E007C-46E7-43D8-A9C7-2E16B81C0256}" xr6:coauthVersionLast="36" xr6:coauthVersionMax="36" xr10:uidLastSave="{00000000-0000-0000-0000-000000000000}"/>
  <bookViews>
    <workbookView xWindow="0" yWindow="0" windowWidth="22260" windowHeight="12645" activeTab="1" xr2:uid="{00000000-000D-0000-FFFF-FFFF00000000}"/>
  </bookViews>
  <sheets>
    <sheet name="출석부" sheetId="2" r:id="rId1"/>
    <sheet name="성적산출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12" i="1" l="1"/>
  <c r="H12" i="1" l="1"/>
  <c r="G12" i="1"/>
  <c r="F12" i="1"/>
  <c r="E12" i="1"/>
  <c r="R46" i="1" l="1"/>
  <c r="I8" i="1" s="1"/>
  <c r="R48" i="1"/>
  <c r="I10" i="1" s="1"/>
  <c r="R49" i="1"/>
  <c r="I11" i="1" s="1"/>
  <c r="Q43" i="1"/>
  <c r="R43" i="1" s="1"/>
  <c r="I5" i="1" s="1"/>
  <c r="Q44" i="1"/>
  <c r="R44" i="1" s="1"/>
  <c r="I6" i="1" s="1"/>
  <c r="Q45" i="1"/>
  <c r="R45" i="1" s="1"/>
  <c r="I7" i="1" s="1"/>
  <c r="Q46" i="1"/>
  <c r="Q47" i="1"/>
  <c r="R47" i="1" s="1"/>
  <c r="I9" i="1" s="1"/>
  <c r="Q48" i="1"/>
  <c r="Q49" i="1"/>
  <c r="Q42" i="1"/>
  <c r="R42" i="1" s="1"/>
  <c r="I4" i="1" s="1"/>
  <c r="D6" i="1"/>
  <c r="D9" i="1"/>
  <c r="D10" i="1"/>
  <c r="S32" i="1"/>
  <c r="D5" i="1" s="1"/>
  <c r="S33" i="1"/>
  <c r="S34" i="1"/>
  <c r="D7" i="1" s="1"/>
  <c r="S35" i="1"/>
  <c r="D8" i="1" s="1"/>
  <c r="S36" i="1"/>
  <c r="S37" i="1"/>
  <c r="S38" i="1"/>
  <c r="D11" i="1" s="1"/>
  <c r="S31" i="1"/>
  <c r="D4" i="1" s="1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U5" i="2"/>
  <c r="T5" i="2"/>
  <c r="I12" i="1" l="1"/>
  <c r="D12" i="1"/>
  <c r="W29" i="1"/>
  <c r="X29" i="1"/>
  <c r="V29" i="1"/>
  <c r="G7" i="1" l="1"/>
  <c r="G8" i="1"/>
  <c r="G9" i="1"/>
  <c r="G10" i="1"/>
  <c r="G11" i="1"/>
  <c r="G4" i="1"/>
  <c r="Z24" i="1"/>
  <c r="Z25" i="1"/>
  <c r="Z26" i="1"/>
  <c r="Z27" i="1"/>
  <c r="Z28" i="1"/>
  <c r="Z21" i="1"/>
  <c r="Y22" i="1"/>
  <c r="Z22" i="1" s="1"/>
  <c r="G5" i="1" s="1"/>
  <c r="Y23" i="1"/>
  <c r="Y29" i="1" s="1"/>
  <c r="Y24" i="1"/>
  <c r="Y25" i="1"/>
  <c r="Y26" i="1"/>
  <c r="Y27" i="1"/>
  <c r="Y28" i="1"/>
  <c r="Y21" i="1"/>
  <c r="Y19" i="1"/>
  <c r="Z23" i="1" l="1"/>
  <c r="G6" i="1" s="1"/>
  <c r="E5" i="1"/>
  <c r="E6" i="1"/>
  <c r="E7" i="1"/>
  <c r="E8" i="1"/>
  <c r="E9" i="1"/>
  <c r="E10" i="1"/>
  <c r="E11" i="1"/>
  <c r="E4" i="1"/>
  <c r="L22" i="1"/>
  <c r="L23" i="1"/>
  <c r="L24" i="1"/>
  <c r="L25" i="1"/>
  <c r="L26" i="1"/>
  <c r="L27" i="1"/>
  <c r="L28" i="1"/>
  <c r="L21" i="1"/>
  <c r="J22" i="1"/>
  <c r="J23" i="1"/>
  <c r="J24" i="1"/>
  <c r="J25" i="1"/>
  <c r="J26" i="1"/>
  <c r="J27" i="1"/>
  <c r="J28" i="1"/>
  <c r="J21" i="1"/>
  <c r="I22" i="1"/>
  <c r="I23" i="1"/>
  <c r="I24" i="1"/>
  <c r="I25" i="1"/>
  <c r="I26" i="1"/>
  <c r="I27" i="1"/>
  <c r="I28" i="1"/>
  <c r="I21" i="1"/>
  <c r="I18" i="1"/>
  <c r="R22" i="1" l="1"/>
  <c r="F5" i="1" s="1"/>
  <c r="R23" i="1"/>
  <c r="F6" i="1" s="1"/>
  <c r="R24" i="1"/>
  <c r="F7" i="1" s="1"/>
  <c r="R25" i="1"/>
  <c r="F8" i="1" s="1"/>
  <c r="R26" i="1"/>
  <c r="F9" i="1" s="1"/>
  <c r="R27" i="1"/>
  <c r="F10" i="1" s="1"/>
  <c r="R28" i="1"/>
  <c r="F11" i="1" s="1"/>
  <c r="R21" i="1"/>
  <c r="F4" i="1" s="1"/>
  <c r="H43" i="1"/>
  <c r="I43" i="1" s="1"/>
  <c r="H5" i="1" s="1"/>
  <c r="H44" i="1"/>
  <c r="I44" i="1" s="1"/>
  <c r="H6" i="1" s="1"/>
  <c r="H45" i="1"/>
  <c r="I45" i="1" s="1"/>
  <c r="H7" i="1" s="1"/>
  <c r="H46" i="1"/>
  <c r="I46" i="1" s="1"/>
  <c r="H8" i="1" s="1"/>
  <c r="H47" i="1"/>
  <c r="I47" i="1" s="1"/>
  <c r="H9" i="1" s="1"/>
  <c r="H48" i="1"/>
  <c r="I48" i="1" s="1"/>
  <c r="H10" i="1" s="1"/>
  <c r="H49" i="1"/>
  <c r="I49" i="1" s="1"/>
  <c r="H11" i="1" s="1"/>
  <c r="H42" i="1"/>
  <c r="I42" i="1" s="1"/>
  <c r="H4" i="1" s="1"/>
  <c r="K32" i="1"/>
  <c r="L32" i="1" s="1"/>
  <c r="K33" i="1"/>
  <c r="L33" i="1" s="1"/>
  <c r="K34" i="1"/>
  <c r="L34" i="1" s="1"/>
  <c r="K35" i="1"/>
  <c r="L35" i="1" s="1"/>
  <c r="K36" i="1"/>
  <c r="L36" i="1" s="1"/>
  <c r="K37" i="1"/>
  <c r="L37" i="1" s="1"/>
  <c r="K38" i="1"/>
  <c r="L38" i="1" s="1"/>
  <c r="K31" i="1"/>
  <c r="L31" i="1" s="1"/>
  <c r="J7" i="1" l="1"/>
  <c r="M7" i="1" s="1"/>
  <c r="J6" i="1"/>
  <c r="M6" i="1" s="1"/>
  <c r="J5" i="1"/>
  <c r="M5" i="1" s="1"/>
  <c r="J4" i="1"/>
  <c r="J11" i="1"/>
  <c r="M11" i="1" s="1"/>
  <c r="J10" i="1"/>
  <c r="M10" i="1" s="1"/>
  <c r="J9" i="1"/>
  <c r="M9" i="1" s="1"/>
  <c r="J8" i="1"/>
  <c r="M8" i="1" s="1"/>
  <c r="M4" i="1" l="1"/>
  <c r="J12" i="1"/>
  <c r="K11" i="1"/>
  <c r="K5" i="1"/>
  <c r="K6" i="1"/>
  <c r="K9" i="1"/>
  <c r="K10" i="1"/>
  <c r="K8" i="1"/>
  <c r="K4" i="1"/>
  <c r="K7" i="1"/>
  <c r="P5" i="1" l="1"/>
  <c r="Q5" i="1" s="1"/>
  <c r="P6" i="1"/>
  <c r="Q6" i="1" s="1"/>
  <c r="P7" i="1"/>
  <c r="Q7" i="1" s="1"/>
  <c r="P8" i="1"/>
  <c r="Q8" i="1" s="1"/>
  <c r="P9" i="1"/>
  <c r="Q9" i="1" s="1"/>
  <c r="P10" i="1"/>
  <c r="Q10" i="1" s="1"/>
  <c r="P4" i="1"/>
  <c r="Q4" i="1" s="1"/>
  <c r="P11" i="1"/>
  <c r="Q11" i="1" s="1"/>
  <c r="Q12" i="1" l="1"/>
</calcChain>
</file>

<file path=xl/sharedStrings.xml><?xml version="1.0" encoding="utf-8"?>
<sst xmlns="http://schemas.openxmlformats.org/spreadsheetml/2006/main" count="317" uniqueCount="96">
  <si>
    <t>김시내</t>
    <phoneticPr fontId="1" type="noConversion"/>
  </si>
  <si>
    <t>김지윤</t>
    <phoneticPr fontId="1" type="noConversion"/>
  </si>
  <si>
    <t>박준명</t>
    <phoneticPr fontId="1" type="noConversion"/>
  </si>
  <si>
    <t>손동휘</t>
    <phoneticPr fontId="1" type="noConversion"/>
  </si>
  <si>
    <t>송승훈</t>
    <phoneticPr fontId="1" type="noConversion"/>
  </si>
  <si>
    <t>양성희</t>
    <phoneticPr fontId="1" type="noConversion"/>
  </si>
  <si>
    <t>정원</t>
    <phoneticPr fontId="1" type="noConversion"/>
  </si>
  <si>
    <t>한혜린</t>
    <phoneticPr fontId="1" type="noConversion"/>
  </si>
  <si>
    <t>만점: 40</t>
    <phoneticPr fontId="1" type="noConversion"/>
  </si>
  <si>
    <t>점수</t>
    <phoneticPr fontId="1" type="noConversion"/>
  </si>
  <si>
    <t>%총괄점수</t>
    <phoneticPr fontId="1" type="noConversion"/>
  </si>
  <si>
    <t>Participation</t>
    <phoneticPr fontId="1" type="noConversion"/>
  </si>
  <si>
    <t>Assignment</t>
    <phoneticPr fontId="1" type="noConversion"/>
  </si>
  <si>
    <t>Test</t>
    <phoneticPr fontId="1" type="noConversion"/>
  </si>
  <si>
    <t>Quiz</t>
    <phoneticPr fontId="1" type="noConversion"/>
  </si>
  <si>
    <t>Mid-Term</t>
    <phoneticPr fontId="1" type="noConversion"/>
  </si>
  <si>
    <t>Quizzes</t>
    <phoneticPr fontId="1" type="noConversion"/>
  </si>
  <si>
    <t>Quiz 1</t>
    <phoneticPr fontId="1" type="noConversion"/>
  </si>
  <si>
    <t>TOTAL</t>
    <phoneticPr fontId="1" type="noConversion"/>
  </si>
  <si>
    <t>Final Project</t>
    <phoneticPr fontId="1" type="noConversion"/>
  </si>
  <si>
    <t>Assignments</t>
    <phoneticPr fontId="1" type="noConversion"/>
  </si>
  <si>
    <t>Binomial -&gt; Poisson</t>
    <phoneticPr fontId="1" type="noConversion"/>
  </si>
  <si>
    <t>내용</t>
    <phoneticPr fontId="1" type="noConversion"/>
  </si>
  <si>
    <t>실습 #1</t>
    <phoneticPr fontId="1" type="noConversion"/>
  </si>
  <si>
    <t>만점: 5</t>
    <phoneticPr fontId="1" type="noConversion"/>
  </si>
  <si>
    <t>만점: 11</t>
    <phoneticPr fontId="1" type="noConversion"/>
  </si>
  <si>
    <t>점수</t>
    <phoneticPr fontId="1" type="noConversion"/>
  </si>
  <si>
    <t>챕터2-4 문제풀이</t>
    <phoneticPr fontId="1" type="noConversion"/>
  </si>
  <si>
    <t>만점:</t>
    <phoneticPr fontId="1" type="noConversion"/>
  </si>
  <si>
    <t>DataCamp</t>
    <phoneticPr fontId="1" type="noConversion"/>
  </si>
  <si>
    <t>Intro to R</t>
    <phoneticPr fontId="1" type="noConversion"/>
  </si>
  <si>
    <t>Found. Prob</t>
    <phoneticPr fontId="1" type="noConversion"/>
  </si>
  <si>
    <t>Intermediate R</t>
    <phoneticPr fontId="1" type="noConversion"/>
  </si>
  <si>
    <t>Tidyverse</t>
    <phoneticPr fontId="1" type="noConversion"/>
  </si>
  <si>
    <t>Cleaning Data</t>
    <phoneticPr fontId="1" type="noConversion"/>
  </si>
  <si>
    <t>Regression</t>
    <phoneticPr fontId="1" type="noConversion"/>
  </si>
  <si>
    <t>Test</t>
    <phoneticPr fontId="1" type="noConversion"/>
  </si>
  <si>
    <t>만점 6</t>
    <phoneticPr fontId="1" type="noConversion"/>
  </si>
  <si>
    <t>팀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</si>
  <si>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</si>
  <si>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</si>
  <si>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</si>
  <si>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</si>
  <si>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</si>
  <si>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팀점수 (15)</t>
    <phoneticPr fontId="1" type="noConversion"/>
  </si>
  <si>
    <t>개인점수(5)</t>
    <phoneticPr fontId="1" type="noConversion"/>
  </si>
  <si>
    <t>실습 #2</t>
    <phoneticPr fontId="1" type="noConversion"/>
  </si>
  <si>
    <t>만점 40</t>
    <phoneticPr fontId="1" type="noConversion"/>
  </si>
  <si>
    <t>총점 (20)</t>
    <phoneticPr fontId="1" type="noConversion"/>
  </si>
  <si>
    <t>Total</t>
    <phoneticPr fontId="1" type="noConversion"/>
  </si>
  <si>
    <t>만점</t>
    <phoneticPr fontId="1" type="noConversion"/>
  </si>
  <si>
    <t>등수</t>
    <phoneticPr fontId="1" type="noConversion"/>
  </si>
  <si>
    <t>이름</t>
    <phoneticPr fontId="1" type="noConversion"/>
  </si>
  <si>
    <t>만점: 14</t>
    <phoneticPr fontId="1" type="noConversion"/>
  </si>
  <si>
    <t>IN%</t>
    <phoneticPr fontId="1" type="noConversion"/>
  </si>
  <si>
    <t>ASSIGNMENT TOTAL</t>
    <phoneticPr fontId="1" type="noConversion"/>
  </si>
  <si>
    <t>MC</t>
    <phoneticPr fontId="1" type="noConversion"/>
  </si>
  <si>
    <t>SA</t>
    <phoneticPr fontId="1" type="noConversion"/>
  </si>
  <si>
    <t>LA/PS</t>
    <phoneticPr fontId="1" type="noConversion"/>
  </si>
  <si>
    <t>A</t>
    <phoneticPr fontId="1" type="noConversion"/>
  </si>
  <si>
    <t>B</t>
    <phoneticPr fontId="1" type="noConversion"/>
  </si>
  <si>
    <t>발표점수</t>
    <phoneticPr fontId="1" type="noConversion"/>
  </si>
  <si>
    <t>리포트점수</t>
    <phoneticPr fontId="1" type="noConversion"/>
  </si>
  <si>
    <t>평균</t>
    <phoneticPr fontId="1" type="noConversion"/>
  </si>
  <si>
    <t>점수 (100점만점)</t>
    <phoneticPr fontId="1" type="noConversion"/>
  </si>
  <si>
    <t>Letter Grade</t>
    <phoneticPr fontId="1" type="noConversion"/>
  </si>
  <si>
    <t>Week</t>
    <phoneticPr fontId="1" type="noConversion"/>
  </si>
  <si>
    <t>O</t>
    <phoneticPr fontId="1" type="noConversion"/>
  </si>
  <si>
    <t>X</t>
    <phoneticPr fontId="1" type="noConversion"/>
  </si>
  <si>
    <t>박준명 서일원 교수님 퇴임식 참석</t>
    <phoneticPr fontId="1" type="noConversion"/>
  </si>
  <si>
    <t>현장실습: 한강홍수통제소</t>
    <phoneticPr fontId="1" type="noConversion"/>
  </si>
  <si>
    <t>선택</t>
    <phoneticPr fontId="1" type="noConversion"/>
  </si>
  <si>
    <t>TEST</t>
    <phoneticPr fontId="1" type="noConversion"/>
  </si>
  <si>
    <t>출석</t>
    <phoneticPr fontId="1" type="noConversion"/>
  </si>
  <si>
    <t>불참</t>
    <phoneticPr fontId="1" type="noConversion"/>
  </si>
  <si>
    <t>손동휘 회사 일정</t>
    <phoneticPr fontId="1" type="noConversion"/>
  </si>
  <si>
    <t>김지윤 불참</t>
    <phoneticPr fontId="1" type="noConversion"/>
  </si>
  <si>
    <t>김지윤 학회 참석</t>
    <phoneticPr fontId="1" type="noConversion"/>
  </si>
  <si>
    <t>자리배치도</t>
    <phoneticPr fontId="1" type="noConversion"/>
  </si>
  <si>
    <t>칠</t>
    <phoneticPr fontId="1" type="noConversion"/>
  </si>
  <si>
    <t>판</t>
    <phoneticPr fontId="1" type="noConversion"/>
  </si>
  <si>
    <t>*전체 참가시 +3점 Participation</t>
    <phoneticPr fontId="1" type="noConversion"/>
  </si>
  <si>
    <t>기본점수</t>
    <phoneticPr fontId="1" type="noConversion"/>
  </si>
  <si>
    <t>출석보너스</t>
    <phoneticPr fontId="1" type="noConversion"/>
  </si>
  <si>
    <t>최종점수(%)</t>
    <phoneticPr fontId="1" type="noConversion"/>
  </si>
  <si>
    <t>Mid-Term Project</t>
    <phoneticPr fontId="1" type="noConversion"/>
  </si>
  <si>
    <t>Q&amp;A</t>
    <phoneticPr fontId="1" type="noConversion"/>
  </si>
  <si>
    <t>IN%</t>
    <phoneticPr fontId="1" type="noConversion"/>
  </si>
  <si>
    <t>총합</t>
    <phoneticPr fontId="1" type="noConversion"/>
  </si>
  <si>
    <t>A+</t>
    <phoneticPr fontId="1" type="noConversion"/>
  </si>
  <si>
    <t>A-</t>
    <phoneticPr fontId="1" type="noConversion"/>
  </si>
  <si>
    <t>A0</t>
    <phoneticPr fontId="1" type="noConversion"/>
  </si>
  <si>
    <t>B+</t>
    <phoneticPr fontId="1" type="noConversion"/>
  </si>
  <si>
    <t>Final Term Project</t>
    <phoneticPr fontId="1" type="noConversion"/>
  </si>
  <si>
    <t>평균</t>
    <phoneticPr fontId="1" type="noConversion"/>
  </si>
  <si>
    <t>100% 참석시 +2점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</si>
</sst>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"/>
    <numFmt numFmtId="177" formatCode="0.0"/>
    <numFmt numFmtId="178" formatCode="mm&quot;월&quot;\ dd&quot;일&quot;"/>
  </numFmts>
  <fonts count="7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나눔고딕"/>
      <family val="3"/>
      <charset val="129"/>
    </font>
    <font>
      <b/>
      <sz val="11"/>
      <color theme="1"/>
      <name val="나눔고딕"/>
      <family val="3"/>
      <charset val="129"/>
    </font>
    <font>
      <b/>
      <sz val="11"/>
      <color theme="8"/>
      <name val="나눔고딕"/>
      <family val="3"/>
      <charset val="129"/>
    </font>
    <font>
      <sz val="11"/>
      <color rgb="FFFF0000"/>
      <name val="나눔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>
      <alignment vertical="center"/>
    </xf>
  </cellStyleXfs>
  <cellXfs count="15">
    <xf numFmtId="0" fontId="0" fillId="0" borderId="0" xfId="0"/>
    <xf numFmtId="0" fontId="3" fillId="0" borderId="0" xfId="0" applyFont="1"/>
    <xf numFmtId="9" fontId="3" fillId="0" borderId="0" xfId="1" applyFont="1" applyAlignment="1"/>
    <xf numFmtId="0" fontId="4" fillId="0" borderId="0" xfId="0" applyFont="1"/>
    <xf numFmtId="2" fontId="3" fillId="0" borderId="0" xfId="0" applyNumberFormat="1" applyFont="1"/>
    <xf numFmtId="176" fontId="5" fillId="0" borderId="0" xfId="0" applyNumberFormat="1" applyFont="1"/>
    <xf numFmtId="176" fontId="3" fillId="0" borderId="0" xfId="0" applyNumberFormat="1" applyFont="1"/>
    <xf numFmtId="0" fontId="3" fillId="2" borderId="0" xfId="0" applyFont="1" applyFill="1"/>
    <xf numFmtId="2" fontId="3" fillId="2" borderId="0" xfId="0" applyNumberFormat="1" applyFont="1" applyFill="1"/>
    <xf numFmtId="2" fontId="3" fillId="2" borderId="0" xfId="1" applyNumberFormat="1" applyFont="1" applyFill="1" applyAlignment="1"/>
    <xf numFmtId="177" fontId="3" fillId="0" borderId="0" xfId="0" applyNumberFormat="1" applyFont="1"/>
    <xf numFmtId="178" fontId="3" fillId="0" borderId="0" xfId="0" applyNumberFormat="1" applyFont="1"/>
    <xf numFmtId="0" fontId="6" fillId="0" borderId="0" xfId="0" applyFont="1"/>
    <xf numFmtId="177" fontId="6" fillId="0" borderId="0" xfId="0" applyNumberFormat="1" applyFont="1"/>
    <xf numFmtId="2" fontId="6" fillId="0" borderId="0" xfId="0" applyNumberFormat="1" applyFont="1"/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345142</xdr:colOff>
      <xdr:row>1</xdr:row>
      <xdr:rowOff>34178</xdr:rowOff>
    </xdr:from>
    <xdr:to>
      <xdr:col>27</xdr:col>
      <xdr:colOff>202267</xdr:colOff>
      <xdr:row>16</xdr:row>
      <xdr:rowOff>156234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213A92E-9713-44E3-9A47-F413C318C6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32760" y="213472"/>
          <a:ext cx="5325595" cy="28114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222CF-E750-4B53-B23C-3FFF984084AD}">
  <dimension ref="C2:U24"/>
  <sheetViews>
    <sheetView zoomScale="85" zoomScaleNormal="85" workbookViewId="0">
      <selection activeCell="M14" sqref="M14"/>
    </sheetView>
  </sheetViews>
  <sheetFormatPr defaultRowHeight="14.25" x14ac:dyDescent="0.2"/>
  <cols>
    <col min="1" max="3" width="9" style="1"/>
    <col min="4" max="5" width="10.25" style="1" bestFit="1" customWidth="1"/>
    <col min="6" max="16384" width="9" style="1"/>
  </cols>
  <sheetData>
    <row r="2" spans="3:21" x14ac:dyDescent="0.2">
      <c r="H2" s="1" t="s">
        <v>70</v>
      </c>
      <c r="O2" s="1" t="s">
        <v>71</v>
      </c>
      <c r="P2" s="1" t="s">
        <v>72</v>
      </c>
    </row>
    <row r="3" spans="3:21" x14ac:dyDescent="0.2">
      <c r="C3" s="1" t="s">
        <v>66</v>
      </c>
      <c r="D3" s="1">
        <v>1</v>
      </c>
      <c r="E3" s="1">
        <v>2</v>
      </c>
      <c r="F3" s="1">
        <v>3</v>
      </c>
      <c r="G3" s="1">
        <v>4</v>
      </c>
      <c r="H3" s="1">
        <v>5</v>
      </c>
      <c r="I3" s="1">
        <v>6</v>
      </c>
      <c r="J3" s="1">
        <v>7</v>
      </c>
      <c r="K3" s="1">
        <v>8</v>
      </c>
      <c r="L3" s="1">
        <v>9</v>
      </c>
      <c r="M3" s="1">
        <v>10</v>
      </c>
      <c r="N3" s="1">
        <v>11</v>
      </c>
      <c r="O3" s="1">
        <v>12</v>
      </c>
      <c r="P3" s="1">
        <v>13</v>
      </c>
      <c r="Q3" s="1">
        <v>14</v>
      </c>
      <c r="R3" s="1">
        <v>15</v>
      </c>
    </row>
    <row r="4" spans="3:21" x14ac:dyDescent="0.2">
      <c r="D4" s="11">
        <v>44810</v>
      </c>
      <c r="E4" s="11">
        <v>44817</v>
      </c>
      <c r="F4" s="11">
        <v>44824</v>
      </c>
      <c r="G4" s="11">
        <v>44831</v>
      </c>
      <c r="H4" s="11">
        <v>44838</v>
      </c>
      <c r="I4" s="11">
        <v>44845</v>
      </c>
      <c r="J4" s="11">
        <v>44852</v>
      </c>
      <c r="K4" s="11">
        <v>44859</v>
      </c>
      <c r="L4" s="11">
        <v>44866</v>
      </c>
      <c r="M4" s="11">
        <v>44873</v>
      </c>
      <c r="N4" s="11">
        <v>44880</v>
      </c>
      <c r="O4" s="11">
        <v>44887</v>
      </c>
      <c r="P4" s="11">
        <v>44894</v>
      </c>
      <c r="Q4" s="11">
        <v>44901</v>
      </c>
      <c r="R4" s="11">
        <v>44908</v>
      </c>
      <c r="S4" s="11"/>
      <c r="T4" s="1" t="s">
        <v>73</v>
      </c>
      <c r="U4" s="1" t="s">
        <v>74</v>
      </c>
    </row>
    <row r="5" spans="3:21" x14ac:dyDescent="0.2">
      <c r="C5" s="1" t="s">
        <v>0</v>
      </c>
      <c r="D5" s="1" t="s">
        <v>67</v>
      </c>
      <c r="E5" s="1" t="s">
        <v>67</v>
      </c>
      <c r="F5" s="1" t="s">
        <v>67</v>
      </c>
      <c r="G5" s="1" t="s">
        <v>67</v>
      </c>
      <c r="H5" s="1" t="s">
        <v>67</v>
      </c>
      <c r="I5" s="1" t="s">
        <v>67</v>
      </c>
      <c r="J5" s="1" t="s">
        <v>67</v>
      </c>
      <c r="K5" s="1" t="s">
        <v>67</v>
      </c>
      <c r="L5" s="1" t="s">
        <v>67</v>
      </c>
      <c r="M5" s="1" t="s">
        <v>67</v>
      </c>
      <c r="N5" s="1" t="s">
        <v>67</v>
      </c>
      <c r="O5" s="1" t="s">
        <v>67</v>
      </c>
      <c r="P5" s="1" t="s">
        <v>67</v>
      </c>
      <c r="Q5" s="1" t="s">
        <v>67</v>
      </c>
      <c r="R5" s="1" t="s">
        <v>67</v>
      </c>
      <c r="T5" s="1">
        <f>COUNTIF(D5:R5,"O")</f>
        <v>15</v>
      </c>
      <c r="U5" s="1">
        <f>COUNTIF(D5:R5,"X")</f>
        <v>0</v>
      </c>
    </row>
    <row r="6" spans="3:21" x14ac:dyDescent="0.2">
      <c r="C6" s="1" t="s">
        <v>1</v>
      </c>
      <c r="D6" s="1" t="s">
        <v>67</v>
      </c>
      <c r="E6" s="1" t="s">
        <v>67</v>
      </c>
      <c r="F6" s="1" t="s">
        <v>67</v>
      </c>
      <c r="G6" s="1" t="s">
        <v>67</v>
      </c>
      <c r="H6" s="1" t="s">
        <v>68</v>
      </c>
      <c r="I6" s="1" t="s">
        <v>67</v>
      </c>
      <c r="J6" s="1" t="s">
        <v>67</v>
      </c>
      <c r="K6" s="1" t="s">
        <v>67</v>
      </c>
      <c r="L6" s="1" t="s">
        <v>67</v>
      </c>
      <c r="M6" s="1" t="s">
        <v>67</v>
      </c>
      <c r="N6" s="1" t="s">
        <v>67</v>
      </c>
      <c r="O6" s="1" t="s">
        <v>67</v>
      </c>
      <c r="P6" s="1" t="s">
        <v>67</v>
      </c>
      <c r="Q6" s="1" t="s">
        <v>67</v>
      </c>
      <c r="R6" s="1" t="s">
        <v>68</v>
      </c>
      <c r="T6" s="1">
        <f t="shared" ref="T6:T12" si="0">COUNTIF(D6:R6,"O")</f>
        <v>13</v>
      </c>
      <c r="U6" s="1">
        <f t="shared" ref="U6:U12" si="1">COUNTIF(D6:R6,"X")</f>
        <v>2</v>
      </c>
    </row>
    <row r="7" spans="3:21" x14ac:dyDescent="0.2">
      <c r="C7" s="1" t="s">
        <v>2</v>
      </c>
      <c r="D7" s="1" t="s">
        <v>68</v>
      </c>
      <c r="E7" s="1" t="s">
        <v>67</v>
      </c>
      <c r="F7" s="1" t="s">
        <v>67</v>
      </c>
      <c r="G7" s="1" t="s">
        <v>67</v>
      </c>
      <c r="H7" s="1" t="s">
        <v>67</v>
      </c>
      <c r="I7" s="1" t="s">
        <v>67</v>
      </c>
      <c r="J7" s="1" t="s">
        <v>67</v>
      </c>
      <c r="K7" s="1" t="s">
        <v>67</v>
      </c>
      <c r="L7" s="1" t="s">
        <v>67</v>
      </c>
      <c r="M7" s="1" t="s">
        <v>67</v>
      </c>
      <c r="N7" s="1" t="s">
        <v>67</v>
      </c>
      <c r="O7" s="1" t="s">
        <v>67</v>
      </c>
      <c r="P7" s="1" t="s">
        <v>67</v>
      </c>
      <c r="Q7" s="1" t="s">
        <v>67</v>
      </c>
      <c r="R7" s="1" t="s">
        <v>67</v>
      </c>
      <c r="T7" s="1">
        <f t="shared" si="0"/>
        <v>14</v>
      </c>
      <c r="U7" s="1">
        <f t="shared" si="1"/>
        <v>1</v>
      </c>
    </row>
    <row r="8" spans="3:21" x14ac:dyDescent="0.2">
      <c r="C8" s="1" t="s">
        <v>3</v>
      </c>
      <c r="D8" s="1" t="s">
        <v>67</v>
      </c>
      <c r="E8" s="1" t="s">
        <v>67</v>
      </c>
      <c r="F8" s="1" t="s">
        <v>67</v>
      </c>
      <c r="G8" s="1" t="s">
        <v>67</v>
      </c>
      <c r="H8" s="1" t="s">
        <v>68</v>
      </c>
      <c r="I8" s="1" t="s">
        <v>67</v>
      </c>
      <c r="J8" s="1" t="s">
        <v>67</v>
      </c>
      <c r="K8" s="1" t="s">
        <v>67</v>
      </c>
      <c r="L8" s="1" t="s">
        <v>67</v>
      </c>
      <c r="M8" s="1" t="s">
        <v>67</v>
      </c>
      <c r="N8" s="1" t="s">
        <v>67</v>
      </c>
      <c r="O8" s="1" t="s">
        <v>67</v>
      </c>
      <c r="P8" s="1" t="s">
        <v>67</v>
      </c>
      <c r="Q8" s="1" t="s">
        <v>67</v>
      </c>
      <c r="R8" s="1" t="s">
        <v>67</v>
      </c>
      <c r="T8" s="1">
        <f t="shared" si="0"/>
        <v>14</v>
      </c>
      <c r="U8" s="1">
        <f t="shared" si="1"/>
        <v>1</v>
      </c>
    </row>
    <row r="9" spans="3:21" x14ac:dyDescent="0.2">
      <c r="C9" s="1" t="s">
        <v>4</v>
      </c>
      <c r="D9" s="1" t="s">
        <v>67</v>
      </c>
      <c r="E9" s="1" t="s">
        <v>67</v>
      </c>
      <c r="F9" s="1" t="s">
        <v>67</v>
      </c>
      <c r="G9" s="1" t="s">
        <v>67</v>
      </c>
      <c r="H9" s="1" t="s">
        <v>67</v>
      </c>
      <c r="I9" s="1" t="s">
        <v>67</v>
      </c>
      <c r="J9" s="1" t="s">
        <v>67</v>
      </c>
      <c r="K9" s="1" t="s">
        <v>67</v>
      </c>
      <c r="L9" s="1" t="s">
        <v>67</v>
      </c>
      <c r="M9" s="1" t="s">
        <v>67</v>
      </c>
      <c r="N9" s="1" t="s">
        <v>67</v>
      </c>
      <c r="O9" s="1" t="s">
        <v>67</v>
      </c>
      <c r="P9" s="1" t="s">
        <v>67</v>
      </c>
      <c r="Q9" s="1" t="s">
        <v>67</v>
      </c>
      <c r="R9" s="1" t="s">
        <v>67</v>
      </c>
      <c r="T9" s="1">
        <f t="shared" si="0"/>
        <v>15</v>
      </c>
      <c r="U9" s="1">
        <f t="shared" si="1"/>
        <v>0</v>
      </c>
    </row>
    <row r="10" spans="3:21" x14ac:dyDescent="0.2">
      <c r="C10" s="1" t="s">
        <v>5</v>
      </c>
      <c r="D10" s="1" t="s">
        <v>67</v>
      </c>
      <c r="E10" s="1" t="s">
        <v>67</v>
      </c>
      <c r="F10" s="1" t="s">
        <v>67</v>
      </c>
      <c r="G10" s="1" t="s">
        <v>67</v>
      </c>
      <c r="H10" s="1" t="s">
        <v>67</v>
      </c>
      <c r="I10" s="1" t="s">
        <v>67</v>
      </c>
      <c r="J10" s="1" t="s">
        <v>67</v>
      </c>
      <c r="K10" s="1" t="s">
        <v>67</v>
      </c>
      <c r="L10" s="1" t="s">
        <v>67</v>
      </c>
      <c r="M10" s="1" t="s">
        <v>67</v>
      </c>
      <c r="N10" s="1" t="s">
        <v>67</v>
      </c>
      <c r="O10" s="1" t="s">
        <v>67</v>
      </c>
      <c r="P10" s="1" t="s">
        <v>67</v>
      </c>
      <c r="Q10" s="1" t="s">
        <v>67</v>
      </c>
      <c r="R10" s="1" t="s">
        <v>67</v>
      </c>
      <c r="T10" s="1">
        <f t="shared" si="0"/>
        <v>15</v>
      </c>
      <c r="U10" s="1">
        <f t="shared" si="1"/>
        <v>0</v>
      </c>
    </row>
    <row r="11" spans="3:21" x14ac:dyDescent="0.2">
      <c r="C11" s="1" t="s">
        <v>6</v>
      </c>
      <c r="D11" s="1" t="s">
        <v>67</v>
      </c>
      <c r="E11" s="1" t="s">
        <v>67</v>
      </c>
      <c r="F11" s="1" t="s">
        <v>67</v>
      </c>
      <c r="G11" s="1" t="s">
        <v>67</v>
      </c>
      <c r="H11" s="1" t="s">
        <v>67</v>
      </c>
      <c r="I11" s="1" t="s">
        <v>67</v>
      </c>
      <c r="J11" s="1" t="s">
        <v>67</v>
      </c>
      <c r="K11" s="1" t="s">
        <v>67</v>
      </c>
      <c r="L11" s="1" t="s">
        <v>67</v>
      </c>
      <c r="M11" s="1" t="s">
        <v>67</v>
      </c>
      <c r="N11" s="1" t="s">
        <v>67</v>
      </c>
      <c r="O11" s="1" t="s">
        <v>67</v>
      </c>
      <c r="P11" s="1" t="s">
        <v>67</v>
      </c>
      <c r="Q11" s="1" t="s">
        <v>67</v>
      </c>
      <c r="R11" s="1" t="s">
        <v>67</v>
      </c>
      <c r="T11" s="1">
        <f t="shared" si="0"/>
        <v>15</v>
      </c>
      <c r="U11" s="1">
        <f t="shared" si="1"/>
        <v>0</v>
      </c>
    </row>
    <row r="12" spans="3:21" x14ac:dyDescent="0.2">
      <c r="C12" s="1" t="s">
        <v>7</v>
      </c>
      <c r="D12" s="1" t="s">
        <v>67</v>
      </c>
      <c r="E12" s="1" t="s">
        <v>67</v>
      </c>
      <c r="F12" s="1" t="s">
        <v>67</v>
      </c>
      <c r="G12" s="1" t="s">
        <v>67</v>
      </c>
      <c r="H12" s="1" t="s">
        <v>67</v>
      </c>
      <c r="I12" s="1" t="s">
        <v>67</v>
      </c>
      <c r="J12" s="1" t="s">
        <v>67</v>
      </c>
      <c r="K12" s="1" t="s">
        <v>67</v>
      </c>
      <c r="L12" s="1" t="s">
        <v>67</v>
      </c>
      <c r="M12" s="1" t="s">
        <v>67</v>
      </c>
      <c r="N12" s="1" t="s">
        <v>67</v>
      </c>
      <c r="O12" s="1" t="s">
        <v>67</v>
      </c>
      <c r="P12" s="1" t="s">
        <v>67</v>
      </c>
      <c r="Q12" s="1" t="s">
        <v>67</v>
      </c>
      <c r="R12" s="1" t="s">
        <v>67</v>
      </c>
      <c r="T12" s="1">
        <f t="shared" si="0"/>
        <v>15</v>
      </c>
      <c r="U12" s="1">
        <f t="shared" si="1"/>
        <v>0</v>
      </c>
    </row>
    <row r="13" spans="3:21" x14ac:dyDescent="0.2">
      <c r="D13" s="1" t="s">
        <v>69</v>
      </c>
      <c r="H13" s="1" t="s">
        <v>75</v>
      </c>
      <c r="R13" s="1" t="s">
        <v>77</v>
      </c>
    </row>
    <row r="14" spans="3:21" x14ac:dyDescent="0.2">
      <c r="H14" s="1" t="s">
        <v>76</v>
      </c>
    </row>
    <row r="15" spans="3:21" x14ac:dyDescent="0.2">
      <c r="U15" s="1" t="s">
        <v>81</v>
      </c>
    </row>
    <row r="18" spans="3:10" x14ac:dyDescent="0.2">
      <c r="C18" s="1" t="s">
        <v>78</v>
      </c>
    </row>
    <row r="19" spans="3:10" x14ac:dyDescent="0.2">
      <c r="E19" s="1" t="s">
        <v>4</v>
      </c>
      <c r="F19" s="1" t="s">
        <v>5</v>
      </c>
      <c r="H19" s="1" t="s">
        <v>1</v>
      </c>
    </row>
    <row r="21" spans="3:10" x14ac:dyDescent="0.2">
      <c r="D21" s="1" t="s">
        <v>2</v>
      </c>
      <c r="F21" s="1" t="s">
        <v>0</v>
      </c>
      <c r="H21" s="1" t="s">
        <v>3</v>
      </c>
      <c r="I21" s="1" t="s">
        <v>7</v>
      </c>
      <c r="J21" s="1" t="s">
        <v>6</v>
      </c>
    </row>
    <row r="24" spans="3:10" x14ac:dyDescent="0.2">
      <c r="F24" s="1" t="s">
        <v>79</v>
      </c>
      <c r="G24" s="1" t="s">
        <v>80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Z49"/>
  <sheetViews>
    <sheetView tabSelected="1" zoomScale="70" zoomScaleNormal="70" workbookViewId="0">
      <selection activeCell="D2" sqref="D2"/>
    </sheetView>
  </sheetViews>
  <sheetFormatPr defaultRowHeight="14.25" x14ac:dyDescent="0.2"/>
  <cols>
    <col min="1" max="16384" width="9" style="1"/>
  </cols>
  <sheetData>
    <row r="1" spans="2:21" x14ac:dyDescent="0.2">
      <c r="D1" s="1" t="s">
        <v>95</v>
      </c>
    </row>
    <row r="2" spans="2:21" x14ac:dyDescent="0.2">
      <c r="C2" s="2"/>
      <c r="D2" s="2">
        <v>0.1</v>
      </c>
      <c r="E2" s="2">
        <v>0.3</v>
      </c>
      <c r="F2" s="2">
        <v>0.2</v>
      </c>
      <c r="G2" s="2">
        <v>0.2</v>
      </c>
      <c r="H2" s="2">
        <v>0.1</v>
      </c>
      <c r="I2" s="2">
        <v>0.1</v>
      </c>
      <c r="J2" s="2">
        <v>1</v>
      </c>
    </row>
    <row r="3" spans="2:21" x14ac:dyDescent="0.2">
      <c r="B3" s="3" t="s">
        <v>10</v>
      </c>
      <c r="D3" s="1" t="s">
        <v>11</v>
      </c>
      <c r="E3" s="1" t="s">
        <v>12</v>
      </c>
      <c r="F3" s="1" t="s">
        <v>14</v>
      </c>
      <c r="G3" s="1" t="s">
        <v>13</v>
      </c>
      <c r="H3" s="1" t="s">
        <v>15</v>
      </c>
      <c r="I3" s="1" t="s">
        <v>19</v>
      </c>
      <c r="J3" s="1" t="s">
        <v>18</v>
      </c>
      <c r="O3" s="1" t="s">
        <v>51</v>
      </c>
      <c r="P3" s="1" t="s">
        <v>52</v>
      </c>
      <c r="Q3" s="1" t="s">
        <v>64</v>
      </c>
      <c r="R3" s="1" t="s">
        <v>65</v>
      </c>
    </row>
    <row r="4" spans="2:21" x14ac:dyDescent="0.2">
      <c r="C4" s="1" t="s">
        <v>0</v>
      </c>
      <c r="D4" s="1">
        <f>S31*$D$2</f>
        <v>9</v>
      </c>
      <c r="E4" s="4">
        <f>L21*$E$2</f>
        <v>29.357142857142858</v>
      </c>
      <c r="F4" s="4">
        <f>R21*$F$2</f>
        <v>17.5</v>
      </c>
      <c r="G4" s="4">
        <f>Z21*$G$2</f>
        <v>16</v>
      </c>
      <c r="H4" s="4">
        <f t="shared" ref="H4:H11" si="0">I42*$H$2</f>
        <v>9</v>
      </c>
      <c r="I4" s="4">
        <f>R42*$I$2</f>
        <v>8.2857142857142865</v>
      </c>
      <c r="J4" s="5">
        <f>SUM(D4:I4)</f>
        <v>89.142857142857153</v>
      </c>
      <c r="K4" s="1">
        <f t="shared" ref="K4:K11" si="1">RANK(J4,$J$4:$J$11,0)</f>
        <v>2</v>
      </c>
      <c r="L4" s="1" t="s">
        <v>0</v>
      </c>
      <c r="M4" s="6">
        <f>J4</f>
        <v>89.142857142857153</v>
      </c>
      <c r="O4" s="1">
        <v>1</v>
      </c>
      <c r="P4" s="1" t="str">
        <f>VLOOKUP(O4,$K$4:$L$11,2,FALSE)</f>
        <v>박준명</v>
      </c>
      <c r="Q4" s="4">
        <f>VLOOKUP(P4,$L$4:$M$11,2,FALSE)</f>
        <v>92.571428571428569</v>
      </c>
      <c r="R4" s="1" t="s">
        <v>89</v>
      </c>
      <c r="S4" s="1">
        <v>4.3</v>
      </c>
    </row>
    <row r="5" spans="2:21" x14ac:dyDescent="0.2">
      <c r="C5" s="1" t="s">
        <v>1</v>
      </c>
      <c r="D5" s="1">
        <f t="shared" ref="D5:D11" si="2">S32*$D$2</f>
        <v>7</v>
      </c>
      <c r="E5" s="4">
        <f t="shared" ref="E5:E11" si="3">L22*$E$2</f>
        <v>25.285714285714281</v>
      </c>
      <c r="F5" s="4">
        <f t="shared" ref="F5:F11" si="4">R22*$F$2</f>
        <v>5.5000000000000009</v>
      </c>
      <c r="G5" s="4">
        <f t="shared" ref="G5:G11" si="5">Z22*$G$2</f>
        <v>10</v>
      </c>
      <c r="H5" s="4">
        <f t="shared" si="0"/>
        <v>7.5</v>
      </c>
      <c r="I5" s="4">
        <f t="shared" ref="I5:I11" si="6">R43*$I$2</f>
        <v>8.5714285714285712</v>
      </c>
      <c r="J5" s="5">
        <f t="shared" ref="J5:J11" si="7">SUM(D5:I5)</f>
        <v>63.857142857142847</v>
      </c>
      <c r="K5" s="1">
        <f t="shared" si="1"/>
        <v>8</v>
      </c>
      <c r="L5" s="1" t="s">
        <v>1</v>
      </c>
      <c r="M5" s="6">
        <f t="shared" ref="M5:M11" si="8">J5</f>
        <v>63.857142857142847</v>
      </c>
      <c r="O5" s="1">
        <v>2</v>
      </c>
      <c r="P5" s="1" t="str">
        <f t="shared" ref="P5:P11" si="9">VLOOKUP(O5,$K$4:$L$11,2,FALSE)</f>
        <v>김시내</v>
      </c>
      <c r="Q5" s="4">
        <f t="shared" ref="Q5:Q11" si="10">VLOOKUP(P5,$L$4:$M$11,2,FALSE)</f>
        <v>89.142857142857153</v>
      </c>
      <c r="R5" s="1" t="s">
        <v>89</v>
      </c>
      <c r="S5" s="1">
        <v>4.3</v>
      </c>
    </row>
    <row r="6" spans="2:21" x14ac:dyDescent="0.2">
      <c r="C6" s="1" t="s">
        <v>2</v>
      </c>
      <c r="D6" s="1">
        <f t="shared" si="2"/>
        <v>7</v>
      </c>
      <c r="E6" s="4">
        <f t="shared" si="3"/>
        <v>29.571428571428569</v>
      </c>
      <c r="F6" s="4">
        <f t="shared" si="4"/>
        <v>18.5</v>
      </c>
      <c r="G6" s="4">
        <f t="shared" si="5"/>
        <v>19.428571428571431</v>
      </c>
      <c r="H6" s="4">
        <f t="shared" si="0"/>
        <v>9.5</v>
      </c>
      <c r="I6" s="4">
        <f t="shared" si="6"/>
        <v>8.5714285714285712</v>
      </c>
      <c r="J6" s="5">
        <f t="shared" si="7"/>
        <v>92.571428571428569</v>
      </c>
      <c r="K6" s="1">
        <f t="shared" si="1"/>
        <v>1</v>
      </c>
      <c r="L6" s="1" t="s">
        <v>2</v>
      </c>
      <c r="M6" s="6">
        <f t="shared" si="8"/>
        <v>92.571428571428569</v>
      </c>
      <c r="O6" s="1">
        <v>3</v>
      </c>
      <c r="P6" s="1" t="str">
        <f t="shared" si="9"/>
        <v>손동휘</v>
      </c>
      <c r="Q6" s="4">
        <f t="shared" si="10"/>
        <v>77.928571428571431</v>
      </c>
      <c r="R6" s="1" t="s">
        <v>91</v>
      </c>
      <c r="S6" s="1">
        <v>4</v>
      </c>
    </row>
    <row r="7" spans="2:21" x14ac:dyDescent="0.2">
      <c r="C7" s="1" t="s">
        <v>3</v>
      </c>
      <c r="D7" s="1">
        <f t="shared" si="2"/>
        <v>7</v>
      </c>
      <c r="E7" s="4">
        <f t="shared" si="3"/>
        <v>30</v>
      </c>
      <c r="F7" s="4">
        <f t="shared" si="4"/>
        <v>11.000000000000002</v>
      </c>
      <c r="G7" s="4">
        <f t="shared" si="5"/>
        <v>12.857142857142859</v>
      </c>
      <c r="H7" s="4">
        <f t="shared" si="0"/>
        <v>8.5</v>
      </c>
      <c r="I7" s="4">
        <f t="shared" si="6"/>
        <v>8.5714285714285712</v>
      </c>
      <c r="J7" s="5">
        <f t="shared" si="7"/>
        <v>77.928571428571431</v>
      </c>
      <c r="K7" s="1">
        <f t="shared" si="1"/>
        <v>3</v>
      </c>
      <c r="L7" s="1" t="s">
        <v>3</v>
      </c>
      <c r="M7" s="6">
        <f t="shared" si="8"/>
        <v>77.928571428571431</v>
      </c>
      <c r="O7" s="1">
        <v>4</v>
      </c>
      <c r="P7" s="1" t="str">
        <f t="shared" si="9"/>
        <v>양성희</v>
      </c>
      <c r="Q7" s="4">
        <f t="shared" si="10"/>
        <v>75.464285714285722</v>
      </c>
      <c r="R7" s="1" t="s">
        <v>91</v>
      </c>
      <c r="S7" s="1">
        <v>4</v>
      </c>
    </row>
    <row r="8" spans="2:21" x14ac:dyDescent="0.2">
      <c r="C8" s="1" t="s">
        <v>4</v>
      </c>
      <c r="D8" s="1">
        <f t="shared" si="2"/>
        <v>9</v>
      </c>
      <c r="E8" s="4">
        <f t="shared" si="3"/>
        <v>29.357142857142858</v>
      </c>
      <c r="F8" s="4">
        <f t="shared" si="4"/>
        <v>3</v>
      </c>
      <c r="G8" s="4">
        <f t="shared" si="5"/>
        <v>12.571428571428571</v>
      </c>
      <c r="H8" s="4">
        <f t="shared" si="0"/>
        <v>9</v>
      </c>
      <c r="I8" s="4">
        <f t="shared" si="6"/>
        <v>8.2857142857142865</v>
      </c>
      <c r="J8" s="5">
        <f t="shared" si="7"/>
        <v>71.214285714285722</v>
      </c>
      <c r="K8" s="1">
        <f t="shared" si="1"/>
        <v>6</v>
      </c>
      <c r="L8" s="1" t="s">
        <v>4</v>
      </c>
      <c r="M8" s="6">
        <f t="shared" si="8"/>
        <v>71.214285714285722</v>
      </c>
      <c r="O8" s="1">
        <v>5</v>
      </c>
      <c r="P8" s="1" t="str">
        <f t="shared" si="9"/>
        <v>한혜린</v>
      </c>
      <c r="Q8" s="4">
        <f t="shared" si="10"/>
        <v>71.928571428571431</v>
      </c>
      <c r="R8" s="1" t="s">
        <v>90</v>
      </c>
      <c r="S8" s="1">
        <v>3.7</v>
      </c>
    </row>
    <row r="9" spans="2:21" x14ac:dyDescent="0.2">
      <c r="C9" s="1" t="s">
        <v>5</v>
      </c>
      <c r="D9" s="1">
        <f t="shared" si="2"/>
        <v>9</v>
      </c>
      <c r="E9" s="4">
        <f t="shared" si="3"/>
        <v>25.821428571428569</v>
      </c>
      <c r="F9" s="4">
        <f t="shared" si="4"/>
        <v>11.000000000000002</v>
      </c>
      <c r="G9" s="4">
        <f t="shared" si="5"/>
        <v>12.857142857142859</v>
      </c>
      <c r="H9" s="4">
        <f t="shared" si="0"/>
        <v>8.5</v>
      </c>
      <c r="I9" s="4">
        <f t="shared" si="6"/>
        <v>8.2857142857142865</v>
      </c>
      <c r="J9" s="5">
        <f t="shared" si="7"/>
        <v>75.464285714285722</v>
      </c>
      <c r="K9" s="1">
        <f t="shared" si="1"/>
        <v>4</v>
      </c>
      <c r="L9" s="1" t="s">
        <v>5</v>
      </c>
      <c r="M9" s="6">
        <f t="shared" si="8"/>
        <v>75.464285714285722</v>
      </c>
      <c r="O9" s="1">
        <v>6</v>
      </c>
      <c r="P9" s="1" t="str">
        <f t="shared" si="9"/>
        <v>송승훈</v>
      </c>
      <c r="Q9" s="4">
        <f t="shared" si="10"/>
        <v>71.214285714285722</v>
      </c>
      <c r="R9" s="1" t="s">
        <v>90</v>
      </c>
      <c r="S9" s="1">
        <v>3.7</v>
      </c>
    </row>
    <row r="10" spans="2:21" x14ac:dyDescent="0.2">
      <c r="C10" s="1" t="s">
        <v>6</v>
      </c>
      <c r="D10" s="1">
        <f t="shared" si="2"/>
        <v>9</v>
      </c>
      <c r="E10" s="4">
        <f t="shared" si="3"/>
        <v>24.857142857142858</v>
      </c>
      <c r="F10" s="4">
        <f t="shared" si="4"/>
        <v>6</v>
      </c>
      <c r="G10" s="4">
        <f t="shared" si="5"/>
        <v>13.142857142857142</v>
      </c>
      <c r="H10" s="4">
        <f t="shared" si="0"/>
        <v>7</v>
      </c>
      <c r="I10" s="4">
        <f t="shared" si="6"/>
        <v>8.2857142857142865</v>
      </c>
      <c r="J10" s="5">
        <f t="shared" si="7"/>
        <v>68.285714285714292</v>
      </c>
      <c r="K10" s="1">
        <f t="shared" si="1"/>
        <v>7</v>
      </c>
      <c r="L10" s="1" t="s">
        <v>6</v>
      </c>
      <c r="M10" s="6">
        <f t="shared" si="8"/>
        <v>68.285714285714292</v>
      </c>
      <c r="O10" s="1">
        <v>7</v>
      </c>
      <c r="P10" s="1" t="str">
        <f t="shared" si="9"/>
        <v>정원</v>
      </c>
      <c r="Q10" s="4">
        <f t="shared" si="10"/>
        <v>68.285714285714292</v>
      </c>
      <c r="R10" s="1" t="s">
        <v>90</v>
      </c>
      <c r="S10" s="1">
        <v>3.7</v>
      </c>
    </row>
    <row r="11" spans="2:21" x14ac:dyDescent="0.2">
      <c r="C11" s="1" t="s">
        <v>7</v>
      </c>
      <c r="D11" s="1">
        <f t="shared" si="2"/>
        <v>9</v>
      </c>
      <c r="E11" s="4">
        <f t="shared" si="3"/>
        <v>25.714285714285715</v>
      </c>
      <c r="F11" s="4">
        <f t="shared" si="4"/>
        <v>12.5</v>
      </c>
      <c r="G11" s="4">
        <f t="shared" si="5"/>
        <v>9.1428571428571441</v>
      </c>
      <c r="H11" s="4">
        <f t="shared" si="0"/>
        <v>7</v>
      </c>
      <c r="I11" s="4">
        <f t="shared" si="6"/>
        <v>8.5714285714285712</v>
      </c>
      <c r="J11" s="5">
        <f t="shared" si="7"/>
        <v>71.928571428571431</v>
      </c>
      <c r="K11" s="1">
        <f t="shared" si="1"/>
        <v>5</v>
      </c>
      <c r="L11" s="1" t="s">
        <v>7</v>
      </c>
      <c r="M11" s="6">
        <f t="shared" si="8"/>
        <v>71.928571428571431</v>
      </c>
      <c r="O11" s="1">
        <v>8</v>
      </c>
      <c r="P11" s="1" t="str">
        <f t="shared" si="9"/>
        <v>김지윤</v>
      </c>
      <c r="Q11" s="4">
        <f t="shared" si="10"/>
        <v>63.857142857142847</v>
      </c>
      <c r="R11" s="1" t="s">
        <v>92</v>
      </c>
      <c r="S11" s="1">
        <v>3.3</v>
      </c>
    </row>
    <row r="12" spans="2:21" x14ac:dyDescent="0.2">
      <c r="C12" s="12" t="s">
        <v>63</v>
      </c>
      <c r="D12" s="13">
        <f t="shared" ref="D12:J12" si="11">AVERAGE(D4:D11)</f>
        <v>8.25</v>
      </c>
      <c r="E12" s="13">
        <f t="shared" si="11"/>
        <v>27.495535714285712</v>
      </c>
      <c r="F12" s="13">
        <f t="shared" si="11"/>
        <v>10.625</v>
      </c>
      <c r="G12" s="13">
        <f t="shared" si="11"/>
        <v>13.25</v>
      </c>
      <c r="H12" s="13">
        <f t="shared" si="11"/>
        <v>8.25</v>
      </c>
      <c r="I12" s="13">
        <f t="shared" si="11"/>
        <v>8.4285714285714288</v>
      </c>
      <c r="J12" s="13">
        <f t="shared" si="11"/>
        <v>76.299107142857153</v>
      </c>
      <c r="P12" s="12" t="s">
        <v>94</v>
      </c>
      <c r="Q12" s="14">
        <f>AVERAGE(Q4:Q11)</f>
        <v>76.299107142857153</v>
      </c>
      <c r="S12" s="14">
        <f>AVERAGE(S4:S11)</f>
        <v>3.875</v>
      </c>
      <c r="U12" s="14"/>
    </row>
    <row r="18" spans="3:26" x14ac:dyDescent="0.2">
      <c r="E18" s="1" t="s">
        <v>24</v>
      </c>
      <c r="F18" s="1" t="s">
        <v>25</v>
      </c>
      <c r="G18" s="1" t="s">
        <v>24</v>
      </c>
      <c r="H18" s="1" t="s">
        <v>53</v>
      </c>
      <c r="I18" s="1">
        <f>35</f>
        <v>35</v>
      </c>
    </row>
    <row r="19" spans="3:26" x14ac:dyDescent="0.2">
      <c r="D19" s="1" t="s">
        <v>22</v>
      </c>
      <c r="E19" s="1" t="s">
        <v>21</v>
      </c>
      <c r="F19" s="1" t="s">
        <v>23</v>
      </c>
      <c r="G19" s="1" t="s">
        <v>27</v>
      </c>
      <c r="H19" s="1" t="s">
        <v>46</v>
      </c>
      <c r="Q19" s="1" t="s">
        <v>47</v>
      </c>
      <c r="U19" s="1" t="s">
        <v>50</v>
      </c>
      <c r="V19" s="1">
        <v>15</v>
      </c>
      <c r="W19" s="1">
        <v>35</v>
      </c>
      <c r="X19" s="1">
        <v>20</v>
      </c>
      <c r="Y19" s="1">
        <f>SUM(V19:X19)</f>
        <v>70</v>
      </c>
    </row>
    <row r="20" spans="3:26" x14ac:dyDescent="0.2">
      <c r="C20" s="1" t="s">
        <v>20</v>
      </c>
      <c r="E20" s="1" t="s">
        <v>9</v>
      </c>
      <c r="F20" s="1" t="s">
        <v>26</v>
      </c>
      <c r="G20" s="1" t="s">
        <v>26</v>
      </c>
      <c r="H20" s="1" t="s">
        <v>9</v>
      </c>
      <c r="I20" s="1" t="s">
        <v>49</v>
      </c>
      <c r="J20" s="7" t="s">
        <v>54</v>
      </c>
      <c r="L20" s="7" t="s">
        <v>55</v>
      </c>
      <c r="O20" s="1" t="s">
        <v>16</v>
      </c>
      <c r="Q20" s="1" t="s">
        <v>17</v>
      </c>
      <c r="T20" s="1" t="s">
        <v>36</v>
      </c>
      <c r="V20" s="1" t="s">
        <v>56</v>
      </c>
      <c r="W20" s="1" t="s">
        <v>57</v>
      </c>
      <c r="X20" s="1" t="s">
        <v>58</v>
      </c>
      <c r="Z20" s="7" t="s">
        <v>54</v>
      </c>
    </row>
    <row r="21" spans="3:26" x14ac:dyDescent="0.2">
      <c r="D21" s="1" t="s">
        <v>0</v>
      </c>
      <c r="E21" s="1">
        <v>5</v>
      </c>
      <c r="F21" s="1">
        <v>10.5</v>
      </c>
      <c r="G21" s="1">
        <v>4</v>
      </c>
      <c r="H21" s="1">
        <v>14</v>
      </c>
      <c r="I21" s="1">
        <f>SUM(E21:H21)</f>
        <v>33.5</v>
      </c>
      <c r="J21" s="8">
        <f>I21/$I$18*100</f>
        <v>95.714285714285722</v>
      </c>
      <c r="L21" s="8">
        <f>AVERAGE(J21,L31)</f>
        <v>97.857142857142861</v>
      </c>
      <c r="O21" s="1" t="s">
        <v>8</v>
      </c>
      <c r="P21" s="1" t="s">
        <v>0</v>
      </c>
      <c r="Q21" s="1">
        <v>35</v>
      </c>
      <c r="R21" s="1">
        <f>Q21/40*100</f>
        <v>87.5</v>
      </c>
      <c r="T21" s="1" t="s">
        <v>28</v>
      </c>
      <c r="U21" s="1" t="s">
        <v>0</v>
      </c>
      <c r="V21" s="1">
        <v>15</v>
      </c>
      <c r="W21" s="1">
        <v>28</v>
      </c>
      <c r="X21" s="1">
        <v>13</v>
      </c>
      <c r="Y21" s="1">
        <f>SUM(V21:X21)</f>
        <v>56</v>
      </c>
      <c r="Z21" s="9">
        <f>Y21/$Y$19*100</f>
        <v>80</v>
      </c>
    </row>
    <row r="22" spans="3:26" x14ac:dyDescent="0.2">
      <c r="D22" s="1" t="s">
        <v>1</v>
      </c>
      <c r="E22" s="1">
        <v>5</v>
      </c>
      <c r="F22" s="1">
        <v>11</v>
      </c>
      <c r="G22" s="1">
        <v>0</v>
      </c>
      <c r="H22" s="1">
        <v>8</v>
      </c>
      <c r="I22" s="1">
        <f t="shared" ref="I22:I28" si="12">SUM(E22:H22)</f>
        <v>24</v>
      </c>
      <c r="J22" s="8">
        <f t="shared" ref="J22:J28" si="13">I22/$I$18*100</f>
        <v>68.571428571428569</v>
      </c>
      <c r="L22" s="8">
        <f t="shared" ref="L22:L28" si="14">AVERAGE(J22,L32)</f>
        <v>84.285714285714278</v>
      </c>
      <c r="P22" s="1" t="s">
        <v>1</v>
      </c>
      <c r="Q22" s="1">
        <v>11</v>
      </c>
      <c r="R22" s="1">
        <f t="shared" ref="R22:R28" si="15">Q22/40*100</f>
        <v>27.500000000000004</v>
      </c>
      <c r="U22" s="1" t="s">
        <v>1</v>
      </c>
      <c r="V22" s="1">
        <v>9</v>
      </c>
      <c r="W22" s="1">
        <v>22</v>
      </c>
      <c r="X22" s="1">
        <v>4</v>
      </c>
      <c r="Y22" s="1">
        <f t="shared" ref="Y22:Y28" si="16">SUM(V22:X22)</f>
        <v>35</v>
      </c>
      <c r="Z22" s="9">
        <f t="shared" ref="Z22:Z28" si="17">Y22/$Y$19*100</f>
        <v>50</v>
      </c>
    </row>
    <row r="23" spans="3:26" x14ac:dyDescent="0.2">
      <c r="D23" s="1" t="s">
        <v>2</v>
      </c>
      <c r="E23" s="1">
        <v>5</v>
      </c>
      <c r="F23" s="1">
        <v>11</v>
      </c>
      <c r="G23" s="1">
        <v>5</v>
      </c>
      <c r="H23" s="1">
        <v>13</v>
      </c>
      <c r="I23" s="1">
        <f t="shared" si="12"/>
        <v>34</v>
      </c>
      <c r="J23" s="8">
        <f t="shared" si="13"/>
        <v>97.142857142857139</v>
      </c>
      <c r="L23" s="8">
        <f t="shared" si="14"/>
        <v>98.571428571428569</v>
      </c>
      <c r="P23" s="1" t="s">
        <v>2</v>
      </c>
      <c r="Q23" s="1">
        <v>37</v>
      </c>
      <c r="R23" s="1">
        <f t="shared" si="15"/>
        <v>92.5</v>
      </c>
      <c r="U23" s="1" t="s">
        <v>2</v>
      </c>
      <c r="V23" s="1">
        <v>15</v>
      </c>
      <c r="W23" s="1">
        <v>34</v>
      </c>
      <c r="X23" s="1">
        <v>19</v>
      </c>
      <c r="Y23" s="1">
        <f t="shared" si="16"/>
        <v>68</v>
      </c>
      <c r="Z23" s="9">
        <f t="shared" si="17"/>
        <v>97.142857142857139</v>
      </c>
    </row>
    <row r="24" spans="3:26" x14ac:dyDescent="0.2">
      <c r="D24" s="1" t="s">
        <v>3</v>
      </c>
      <c r="E24" s="1">
        <v>5</v>
      </c>
      <c r="F24" s="1">
        <v>11</v>
      </c>
      <c r="G24" s="1">
        <v>5</v>
      </c>
      <c r="H24" s="1">
        <v>14</v>
      </c>
      <c r="I24" s="1">
        <f t="shared" si="12"/>
        <v>35</v>
      </c>
      <c r="J24" s="8">
        <f t="shared" si="13"/>
        <v>100</v>
      </c>
      <c r="L24" s="8">
        <f t="shared" si="14"/>
        <v>100</v>
      </c>
      <c r="P24" s="1" t="s">
        <v>3</v>
      </c>
      <c r="Q24" s="1">
        <v>22</v>
      </c>
      <c r="R24" s="1">
        <f t="shared" si="15"/>
        <v>55.000000000000007</v>
      </c>
      <c r="U24" s="1" t="s">
        <v>3</v>
      </c>
      <c r="V24" s="1">
        <v>6</v>
      </c>
      <c r="W24" s="1">
        <v>26</v>
      </c>
      <c r="X24" s="1">
        <v>13</v>
      </c>
      <c r="Y24" s="1">
        <f t="shared" si="16"/>
        <v>45</v>
      </c>
      <c r="Z24" s="9">
        <f t="shared" si="17"/>
        <v>64.285714285714292</v>
      </c>
    </row>
    <row r="25" spans="3:26" x14ac:dyDescent="0.2">
      <c r="D25" s="1" t="s">
        <v>4</v>
      </c>
      <c r="E25" s="1">
        <v>5</v>
      </c>
      <c r="F25" s="1">
        <v>11</v>
      </c>
      <c r="G25" s="1">
        <v>4.5</v>
      </c>
      <c r="H25" s="1">
        <v>13</v>
      </c>
      <c r="I25" s="1">
        <f t="shared" si="12"/>
        <v>33.5</v>
      </c>
      <c r="J25" s="8">
        <f t="shared" si="13"/>
        <v>95.714285714285722</v>
      </c>
      <c r="L25" s="8">
        <f t="shared" si="14"/>
        <v>97.857142857142861</v>
      </c>
      <c r="P25" s="1" t="s">
        <v>4</v>
      </c>
      <c r="Q25" s="1">
        <v>6</v>
      </c>
      <c r="R25" s="1">
        <f t="shared" si="15"/>
        <v>15</v>
      </c>
      <c r="U25" s="1" t="s">
        <v>4</v>
      </c>
      <c r="V25" s="1">
        <v>12</v>
      </c>
      <c r="W25" s="1">
        <v>29</v>
      </c>
      <c r="X25" s="1">
        <v>3</v>
      </c>
      <c r="Y25" s="1">
        <f t="shared" si="16"/>
        <v>44</v>
      </c>
      <c r="Z25" s="9">
        <f t="shared" si="17"/>
        <v>62.857142857142854</v>
      </c>
    </row>
    <row r="26" spans="3:26" x14ac:dyDescent="0.2">
      <c r="D26" s="1" t="s">
        <v>5</v>
      </c>
      <c r="E26" s="1">
        <v>5</v>
      </c>
      <c r="F26" s="1">
        <v>11</v>
      </c>
      <c r="G26" s="1">
        <v>5</v>
      </c>
      <c r="H26" s="1">
        <v>13</v>
      </c>
      <c r="I26" s="1">
        <f t="shared" si="12"/>
        <v>34</v>
      </c>
      <c r="J26" s="8">
        <f t="shared" si="13"/>
        <v>97.142857142857139</v>
      </c>
      <c r="L26" s="8">
        <f t="shared" si="14"/>
        <v>86.071428571428569</v>
      </c>
      <c r="P26" s="1" t="s">
        <v>5</v>
      </c>
      <c r="Q26" s="1">
        <v>22</v>
      </c>
      <c r="R26" s="1">
        <f t="shared" si="15"/>
        <v>55.000000000000007</v>
      </c>
      <c r="U26" s="1" t="s">
        <v>5</v>
      </c>
      <c r="V26" s="1">
        <v>9</v>
      </c>
      <c r="W26" s="1">
        <v>23</v>
      </c>
      <c r="X26" s="1">
        <v>13</v>
      </c>
      <c r="Y26" s="1">
        <f t="shared" si="16"/>
        <v>45</v>
      </c>
      <c r="Z26" s="9">
        <f t="shared" si="17"/>
        <v>64.285714285714292</v>
      </c>
    </row>
    <row r="27" spans="3:26" x14ac:dyDescent="0.2">
      <c r="D27" s="1" t="s">
        <v>6</v>
      </c>
      <c r="E27" s="1">
        <v>5</v>
      </c>
      <c r="F27" s="1">
        <v>6</v>
      </c>
      <c r="G27" s="1">
        <v>5</v>
      </c>
      <c r="H27" s="1">
        <v>7</v>
      </c>
      <c r="I27" s="1">
        <f t="shared" si="12"/>
        <v>23</v>
      </c>
      <c r="J27" s="8">
        <f t="shared" si="13"/>
        <v>65.714285714285708</v>
      </c>
      <c r="L27" s="8">
        <f t="shared" si="14"/>
        <v>82.857142857142861</v>
      </c>
      <c r="P27" s="1" t="s">
        <v>6</v>
      </c>
      <c r="Q27" s="1">
        <v>12</v>
      </c>
      <c r="R27" s="1">
        <f t="shared" si="15"/>
        <v>30</v>
      </c>
      <c r="U27" s="1" t="s">
        <v>6</v>
      </c>
      <c r="V27" s="1">
        <v>9</v>
      </c>
      <c r="W27" s="1">
        <v>24</v>
      </c>
      <c r="X27" s="1">
        <v>13</v>
      </c>
      <c r="Y27" s="1">
        <f t="shared" si="16"/>
        <v>46</v>
      </c>
      <c r="Z27" s="9">
        <f t="shared" si="17"/>
        <v>65.714285714285708</v>
      </c>
    </row>
    <row r="28" spans="3:26" x14ac:dyDescent="0.2">
      <c r="D28" s="1" t="s">
        <v>7</v>
      </c>
      <c r="E28" s="1">
        <v>5</v>
      </c>
      <c r="F28" s="1">
        <v>6</v>
      </c>
      <c r="G28" s="1">
        <v>5</v>
      </c>
      <c r="H28" s="1">
        <v>9</v>
      </c>
      <c r="I28" s="1">
        <f t="shared" si="12"/>
        <v>25</v>
      </c>
      <c r="J28" s="8">
        <f t="shared" si="13"/>
        <v>71.428571428571431</v>
      </c>
      <c r="L28" s="8">
        <f t="shared" si="14"/>
        <v>85.714285714285722</v>
      </c>
      <c r="P28" s="1" t="s">
        <v>7</v>
      </c>
      <c r="Q28" s="1">
        <v>25</v>
      </c>
      <c r="R28" s="1">
        <f t="shared" si="15"/>
        <v>62.5</v>
      </c>
      <c r="U28" s="1" t="s">
        <v>7</v>
      </c>
      <c r="V28" s="1">
        <v>12</v>
      </c>
      <c r="W28" s="1">
        <v>14</v>
      </c>
      <c r="X28" s="1">
        <v>6</v>
      </c>
      <c r="Y28" s="1">
        <f t="shared" si="16"/>
        <v>32</v>
      </c>
      <c r="Z28" s="9">
        <f t="shared" si="17"/>
        <v>45.714285714285715</v>
      </c>
    </row>
    <row r="29" spans="3:26" x14ac:dyDescent="0.2">
      <c r="J29" s="4"/>
      <c r="K29" s="1" t="s">
        <v>37</v>
      </c>
      <c r="U29" s="12" t="s">
        <v>63</v>
      </c>
      <c r="V29" s="13">
        <f>AVERAGE(V21:V28)</f>
        <v>10.875</v>
      </c>
      <c r="W29" s="13">
        <f>AVERAGE(W21:W28)</f>
        <v>25</v>
      </c>
      <c r="X29" s="13">
        <f>AVERAGE(X21:X28)</f>
        <v>10.5</v>
      </c>
      <c r="Y29" s="13">
        <f>AVERAGE(Y21:Y28)</f>
        <v>46.375</v>
      </c>
    </row>
    <row r="30" spans="3:26" x14ac:dyDescent="0.2">
      <c r="C30" s="1" t="s">
        <v>29</v>
      </c>
      <c r="E30" s="1" t="s">
        <v>30</v>
      </c>
      <c r="F30" s="1" t="s">
        <v>31</v>
      </c>
      <c r="G30" s="1" t="s">
        <v>32</v>
      </c>
      <c r="H30" s="1" t="s">
        <v>33</v>
      </c>
      <c r="I30" s="1" t="s">
        <v>34</v>
      </c>
      <c r="J30" s="1" t="s">
        <v>35</v>
      </c>
      <c r="K30" s="1" t="s">
        <v>49</v>
      </c>
      <c r="L30" s="7" t="s">
        <v>54</v>
      </c>
      <c r="O30" s="1" t="s">
        <v>11</v>
      </c>
      <c r="Q30" s="1" t="s">
        <v>82</v>
      </c>
      <c r="R30" s="1" t="s">
        <v>83</v>
      </c>
      <c r="S30" s="7" t="s">
        <v>84</v>
      </c>
      <c r="Z30" s="10"/>
    </row>
    <row r="31" spans="3:26" x14ac:dyDescent="0.2">
      <c r="D31" s="1" t="s">
        <v>0</v>
      </c>
      <c r="E31" s="1">
        <v>1</v>
      </c>
      <c r="F31" s="1">
        <v>1</v>
      </c>
      <c r="G31" s="1">
        <v>1</v>
      </c>
      <c r="H31" s="1">
        <v>1</v>
      </c>
      <c r="I31" s="1">
        <v>1</v>
      </c>
      <c r="J31" s="1">
        <v>1</v>
      </c>
      <c r="K31" s="1">
        <f>SUM(E31:J31)</f>
        <v>6</v>
      </c>
      <c r="L31" s="7">
        <f>K31/6*100</f>
        <v>100</v>
      </c>
      <c r="P31" s="1" t="s">
        <v>0</v>
      </c>
      <c r="Q31" s="1">
        <v>70</v>
      </c>
      <c r="R31" s="1">
        <v>20</v>
      </c>
      <c r="S31" s="7">
        <f>SUM(Q31:R31)</f>
        <v>90</v>
      </c>
    </row>
    <row r="32" spans="3:26" x14ac:dyDescent="0.2">
      <c r="D32" s="1" t="s">
        <v>1</v>
      </c>
      <c r="E32" s="1">
        <v>1</v>
      </c>
      <c r="F32" s="1">
        <v>1</v>
      </c>
      <c r="G32" s="1">
        <v>1</v>
      </c>
      <c r="H32" s="1">
        <v>1</v>
      </c>
      <c r="I32" s="1">
        <v>1</v>
      </c>
      <c r="J32" s="1">
        <v>1</v>
      </c>
      <c r="K32" s="1">
        <f t="shared" ref="K32:K38" si="18">SUM(E32:J32)</f>
        <v>6</v>
      </c>
      <c r="L32" s="7">
        <f t="shared" ref="L32:L38" si="19">K32/6*100</f>
        <v>100</v>
      </c>
      <c r="P32" s="1" t="s">
        <v>1</v>
      </c>
      <c r="Q32" s="1">
        <v>70</v>
      </c>
      <c r="R32" s="1">
        <v>0</v>
      </c>
      <c r="S32" s="7">
        <f t="shared" ref="S32:S38" si="20">SUM(Q32:R32)</f>
        <v>70</v>
      </c>
    </row>
    <row r="33" spans="3:19" x14ac:dyDescent="0.2">
      <c r="D33" s="1" t="s">
        <v>2</v>
      </c>
      <c r="E33" s="1">
        <v>1</v>
      </c>
      <c r="F33" s="1">
        <v>1</v>
      </c>
      <c r="G33" s="1">
        <v>1</v>
      </c>
      <c r="H33" s="1">
        <v>1</v>
      </c>
      <c r="I33" s="1">
        <v>1</v>
      </c>
      <c r="J33" s="1">
        <v>1</v>
      </c>
      <c r="K33" s="1">
        <f t="shared" si="18"/>
        <v>6</v>
      </c>
      <c r="L33" s="7">
        <f t="shared" si="19"/>
        <v>100</v>
      </c>
      <c r="P33" s="1" t="s">
        <v>2</v>
      </c>
      <c r="Q33" s="1">
        <v>70</v>
      </c>
      <c r="R33" s="1">
        <v>0</v>
      </c>
      <c r="S33" s="7">
        <f t="shared" si="20"/>
        <v>70</v>
      </c>
    </row>
    <row r="34" spans="3:19" x14ac:dyDescent="0.2">
      <c r="D34" s="1" t="s">
        <v>3</v>
      </c>
      <c r="E34" s="1">
        <v>1</v>
      </c>
      <c r="F34" s="1">
        <v>1</v>
      </c>
      <c r="G34" s="1">
        <v>1</v>
      </c>
      <c r="H34" s="1">
        <v>1</v>
      </c>
      <c r="I34" s="1">
        <v>1</v>
      </c>
      <c r="J34" s="1">
        <v>1</v>
      </c>
      <c r="K34" s="1">
        <f t="shared" si="18"/>
        <v>6</v>
      </c>
      <c r="L34" s="7">
        <f t="shared" si="19"/>
        <v>100</v>
      </c>
      <c r="P34" s="1" t="s">
        <v>3</v>
      </c>
      <c r="Q34" s="1">
        <v>70</v>
      </c>
      <c r="R34" s="1">
        <v>0</v>
      </c>
      <c r="S34" s="7">
        <f t="shared" si="20"/>
        <v>70</v>
      </c>
    </row>
    <row r="35" spans="3:19" x14ac:dyDescent="0.2">
      <c r="D35" s="1" t="s">
        <v>4</v>
      </c>
      <c r="E35" s="1">
        <v>1</v>
      </c>
      <c r="F35" s="1">
        <v>1</v>
      </c>
      <c r="G35" s="1">
        <v>1</v>
      </c>
      <c r="H35" s="1">
        <v>1</v>
      </c>
      <c r="I35" s="1">
        <v>1</v>
      </c>
      <c r="J35" s="1">
        <v>1</v>
      </c>
      <c r="K35" s="1">
        <f t="shared" si="18"/>
        <v>6</v>
      </c>
      <c r="L35" s="7">
        <f t="shared" si="19"/>
        <v>100</v>
      </c>
      <c r="P35" s="1" t="s">
        <v>4</v>
      </c>
      <c r="Q35" s="1">
        <v>70</v>
      </c>
      <c r="R35" s="1">
        <v>20</v>
      </c>
      <c r="S35" s="7">
        <f t="shared" si="20"/>
        <v>90</v>
      </c>
    </row>
    <row r="36" spans="3:19" x14ac:dyDescent="0.2">
      <c r="D36" s="1" t="s">
        <v>5</v>
      </c>
      <c r="E36" s="1">
        <v>1</v>
      </c>
      <c r="F36" s="1">
        <v>0.5</v>
      </c>
      <c r="G36" s="1">
        <v>1</v>
      </c>
      <c r="H36" s="1">
        <v>1</v>
      </c>
      <c r="I36" s="1">
        <v>1</v>
      </c>
      <c r="J36" s="1">
        <v>0</v>
      </c>
      <c r="K36" s="1">
        <f t="shared" si="18"/>
        <v>4.5</v>
      </c>
      <c r="L36" s="7">
        <f t="shared" si="19"/>
        <v>75</v>
      </c>
      <c r="P36" s="1" t="s">
        <v>5</v>
      </c>
      <c r="Q36" s="1">
        <v>70</v>
      </c>
      <c r="R36" s="1">
        <v>20</v>
      </c>
      <c r="S36" s="7">
        <f t="shared" si="20"/>
        <v>90</v>
      </c>
    </row>
    <row r="37" spans="3:19" x14ac:dyDescent="0.2">
      <c r="D37" s="1" t="s">
        <v>6</v>
      </c>
      <c r="E37" s="1">
        <v>1</v>
      </c>
      <c r="F37" s="1">
        <v>1</v>
      </c>
      <c r="G37" s="1">
        <v>1</v>
      </c>
      <c r="H37" s="1">
        <v>1</v>
      </c>
      <c r="I37" s="1">
        <v>1</v>
      </c>
      <c r="J37" s="1">
        <v>1</v>
      </c>
      <c r="K37" s="1">
        <f t="shared" si="18"/>
        <v>6</v>
      </c>
      <c r="L37" s="7">
        <f t="shared" si="19"/>
        <v>100</v>
      </c>
      <c r="P37" s="1" t="s">
        <v>6</v>
      </c>
      <c r="Q37" s="1">
        <v>70</v>
      </c>
      <c r="R37" s="1">
        <v>20</v>
      </c>
      <c r="S37" s="7">
        <f t="shared" si="20"/>
        <v>90</v>
      </c>
    </row>
    <row r="38" spans="3:19" x14ac:dyDescent="0.2">
      <c r="D38" s="1" t="s">
        <v>7</v>
      </c>
      <c r="E38" s="1">
        <v>1</v>
      </c>
      <c r="F38" s="1">
        <v>1</v>
      </c>
      <c r="G38" s="1">
        <v>1</v>
      </c>
      <c r="H38" s="1">
        <v>1</v>
      </c>
      <c r="I38" s="1">
        <v>1</v>
      </c>
      <c r="J38" s="1">
        <v>1</v>
      </c>
      <c r="K38" s="1">
        <f t="shared" si="18"/>
        <v>6</v>
      </c>
      <c r="L38" s="7">
        <f t="shared" si="19"/>
        <v>100</v>
      </c>
      <c r="P38" s="1" t="s">
        <v>7</v>
      </c>
      <c r="Q38" s="1">
        <v>70</v>
      </c>
      <c r="R38" s="1">
        <v>20</v>
      </c>
      <c r="S38" s="7">
        <f t="shared" si="20"/>
        <v>90</v>
      </c>
    </row>
    <row r="40" spans="3:19" x14ac:dyDescent="0.2">
      <c r="N40" s="1">
        <v>15</v>
      </c>
      <c r="O40" s="1">
        <v>5</v>
      </c>
      <c r="P40" s="1">
        <v>15</v>
      </c>
      <c r="Q40" s="1">
        <v>35</v>
      </c>
    </row>
    <row r="41" spans="3:19" x14ac:dyDescent="0.2">
      <c r="C41" s="1" t="s">
        <v>85</v>
      </c>
      <c r="E41" s="1" t="s">
        <v>38</v>
      </c>
      <c r="F41" s="1" t="s">
        <v>44</v>
      </c>
      <c r="G41" s="1" t="s">
        <v>45</v>
      </c>
      <c r="H41" s="1" t="s">
        <v>48</v>
      </c>
      <c r="I41" s="7" t="s">
        <v>54</v>
      </c>
      <c r="K41" s="1" t="s">
        <v>93</v>
      </c>
      <c r="M41" s="1" t="s">
        <v>38</v>
      </c>
      <c r="N41" s="1" t="s">
        <v>61</v>
      </c>
      <c r="O41" s="1" t="s">
        <v>86</v>
      </c>
      <c r="P41" s="1" t="s">
        <v>62</v>
      </c>
      <c r="Q41" s="1" t="s">
        <v>88</v>
      </c>
      <c r="R41" s="7" t="s">
        <v>87</v>
      </c>
    </row>
    <row r="42" spans="3:19" x14ac:dyDescent="0.2">
      <c r="D42" s="1" t="s">
        <v>0</v>
      </c>
      <c r="E42" s="1" t="s">
        <v>43</v>
      </c>
      <c r="F42" s="1">
        <v>13</v>
      </c>
      <c r="G42" s="1">
        <v>5</v>
      </c>
      <c r="H42" s="1">
        <f>SUM(F42:G42)</f>
        <v>18</v>
      </c>
      <c r="I42" s="7">
        <f>H42/20*100</f>
        <v>90</v>
      </c>
      <c r="L42" s="1" t="s">
        <v>0</v>
      </c>
      <c r="M42" s="1" t="s">
        <v>60</v>
      </c>
      <c r="N42" s="1">
        <v>12</v>
      </c>
      <c r="O42" s="1">
        <v>5</v>
      </c>
      <c r="P42" s="1">
        <v>12</v>
      </c>
      <c r="Q42" s="1">
        <f>SUM(N42:P42)</f>
        <v>29</v>
      </c>
      <c r="R42" s="8">
        <f>Q42/$Q$40*100</f>
        <v>82.857142857142861</v>
      </c>
    </row>
    <row r="43" spans="3:19" x14ac:dyDescent="0.2">
      <c r="D43" s="1" t="s">
        <v>1</v>
      </c>
      <c r="E43" s="1" t="s">
        <v>39</v>
      </c>
      <c r="F43" s="1">
        <v>10</v>
      </c>
      <c r="G43" s="1">
        <v>5</v>
      </c>
      <c r="H43" s="1">
        <f t="shared" ref="H43:H49" si="21">SUM(F43:G43)</f>
        <v>15</v>
      </c>
      <c r="I43" s="7">
        <f t="shared" ref="I43:I49" si="22">H43/20*100</f>
        <v>75</v>
      </c>
      <c r="L43" s="1" t="s">
        <v>1</v>
      </c>
      <c r="M43" s="1" t="s">
        <v>59</v>
      </c>
      <c r="N43" s="1">
        <v>13</v>
      </c>
      <c r="O43" s="1">
        <v>3</v>
      </c>
      <c r="P43" s="1">
        <v>14</v>
      </c>
      <c r="Q43" s="1">
        <f t="shared" ref="Q43:Q49" si="23">SUM(N43:P43)</f>
        <v>30</v>
      </c>
      <c r="R43" s="8">
        <f t="shared" ref="R43:R49" si="24">Q43/$Q$40*100</f>
        <v>85.714285714285708</v>
      </c>
    </row>
    <row r="44" spans="3:19" x14ac:dyDescent="0.2">
      <c r="D44" s="1" t="s">
        <v>2</v>
      </c>
      <c r="E44" s="1" t="s">
        <v>41</v>
      </c>
      <c r="F44" s="1">
        <v>14</v>
      </c>
      <c r="G44" s="1">
        <v>5</v>
      </c>
      <c r="H44" s="1">
        <f t="shared" si="21"/>
        <v>19</v>
      </c>
      <c r="I44" s="7">
        <f t="shared" si="22"/>
        <v>95</v>
      </c>
      <c r="L44" s="1" t="s">
        <v>2</v>
      </c>
      <c r="M44" s="1" t="s">
        <v>59</v>
      </c>
      <c r="N44" s="1">
        <v>13</v>
      </c>
      <c r="O44" s="1">
        <v>3</v>
      </c>
      <c r="P44" s="1">
        <v>14</v>
      </c>
      <c r="Q44" s="1">
        <f t="shared" si="23"/>
        <v>30</v>
      </c>
      <c r="R44" s="8">
        <f t="shared" si="24"/>
        <v>85.714285714285708</v>
      </c>
    </row>
    <row r="45" spans="3:19" x14ac:dyDescent="0.2">
      <c r="D45" s="1" t="s">
        <v>3</v>
      </c>
      <c r="E45" s="1" t="s">
        <v>40</v>
      </c>
      <c r="F45" s="1">
        <v>12</v>
      </c>
      <c r="G45" s="1">
        <v>5</v>
      </c>
      <c r="H45" s="1">
        <f t="shared" si="21"/>
        <v>17</v>
      </c>
      <c r="I45" s="7">
        <f t="shared" si="22"/>
        <v>85</v>
      </c>
      <c r="L45" s="1" t="s">
        <v>3</v>
      </c>
      <c r="M45" s="1" t="s">
        <v>59</v>
      </c>
      <c r="N45" s="1">
        <v>13</v>
      </c>
      <c r="O45" s="1">
        <v>3</v>
      </c>
      <c r="P45" s="1">
        <v>14</v>
      </c>
      <c r="Q45" s="1">
        <f t="shared" si="23"/>
        <v>30</v>
      </c>
      <c r="R45" s="8">
        <f t="shared" si="24"/>
        <v>85.714285714285708</v>
      </c>
    </row>
    <row r="46" spans="3:19" x14ac:dyDescent="0.2">
      <c r="D46" s="1" t="s">
        <v>4</v>
      </c>
      <c r="E46" s="1" t="s">
        <v>43</v>
      </c>
      <c r="F46" s="1">
        <v>13</v>
      </c>
      <c r="G46" s="1">
        <v>5</v>
      </c>
      <c r="H46" s="1">
        <f t="shared" si="21"/>
        <v>18</v>
      </c>
      <c r="I46" s="7">
        <f t="shared" si="22"/>
        <v>90</v>
      </c>
      <c r="L46" s="1" t="s">
        <v>4</v>
      </c>
      <c r="M46" s="1" t="s">
        <v>60</v>
      </c>
      <c r="N46" s="1">
        <v>12</v>
      </c>
      <c r="O46" s="1">
        <v>5</v>
      </c>
      <c r="P46" s="1">
        <v>12</v>
      </c>
      <c r="Q46" s="1">
        <f t="shared" si="23"/>
        <v>29</v>
      </c>
      <c r="R46" s="8">
        <f t="shared" si="24"/>
        <v>82.857142857142861</v>
      </c>
    </row>
    <row r="47" spans="3:19" x14ac:dyDescent="0.2">
      <c r="D47" s="1" t="s">
        <v>5</v>
      </c>
      <c r="E47" s="1" t="s">
        <v>40</v>
      </c>
      <c r="F47" s="1">
        <v>12</v>
      </c>
      <c r="G47" s="1">
        <v>5</v>
      </c>
      <c r="H47" s="1">
        <f t="shared" si="21"/>
        <v>17</v>
      </c>
      <c r="I47" s="7">
        <f t="shared" si="22"/>
        <v>85</v>
      </c>
      <c r="L47" s="1" t="s">
        <v>5</v>
      </c>
      <c r="M47" s="1" t="s">
        <v>60</v>
      </c>
      <c r="N47" s="1">
        <v>12</v>
      </c>
      <c r="O47" s="1">
        <v>5</v>
      </c>
      <c r="P47" s="1">
        <v>12</v>
      </c>
      <c r="Q47" s="1">
        <f t="shared" si="23"/>
        <v>29</v>
      </c>
      <c r="R47" s="8">
        <f t="shared" si="24"/>
        <v>82.857142857142861</v>
      </c>
    </row>
    <row r="48" spans="3:19" x14ac:dyDescent="0.2">
      <c r="D48" s="1" t="s">
        <v>6</v>
      </c>
      <c r="E48" s="1" t="s">
        <v>42</v>
      </c>
      <c r="F48" s="1">
        <v>9</v>
      </c>
      <c r="G48" s="1">
        <v>5</v>
      </c>
      <c r="H48" s="1">
        <f t="shared" si="21"/>
        <v>14</v>
      </c>
      <c r="I48" s="7">
        <f t="shared" si="22"/>
        <v>70</v>
      </c>
      <c r="L48" s="1" t="s">
        <v>6</v>
      </c>
      <c r="M48" s="1" t="s">
        <v>60</v>
      </c>
      <c r="N48" s="1">
        <v>12</v>
      </c>
      <c r="O48" s="1">
        <v>5</v>
      </c>
      <c r="P48" s="1">
        <v>12</v>
      </c>
      <c r="Q48" s="1">
        <f t="shared" si="23"/>
        <v>29</v>
      </c>
      <c r="R48" s="8">
        <f t="shared" si="24"/>
        <v>82.857142857142861</v>
      </c>
    </row>
    <row r="49" spans="4:18" x14ac:dyDescent="0.2">
      <c r="D49" s="1" t="s">
        <v>7</v>
      </c>
      <c r="E49" s="1" t="s">
        <v>42</v>
      </c>
      <c r="F49" s="1">
        <v>9</v>
      </c>
      <c r="G49" s="1">
        <v>5</v>
      </c>
      <c r="H49" s="1">
        <f t="shared" si="21"/>
        <v>14</v>
      </c>
      <c r="I49" s="7">
        <f t="shared" si="22"/>
        <v>70</v>
      </c>
      <c r="L49" s="1" t="s">
        <v>7</v>
      </c>
      <c r="M49" s="1" t="s">
        <v>59</v>
      </c>
      <c r="N49" s="1">
        <v>13</v>
      </c>
      <c r="O49" s="1">
        <v>3</v>
      </c>
      <c r="P49" s="1">
        <v>14</v>
      </c>
      <c r="Q49" s="1">
        <f t="shared" si="23"/>
        <v>30</v>
      </c>
      <c r="R49" s="8">
        <f t="shared" si="24"/>
        <v>85.714285714285708</v>
      </c>
    </row>
  </sheetData>
  <phoneticPr fontId="1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출석부</vt:lpstr>
      <vt:lpstr>성적산출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2022-12-21T05:07:41Z</dcterms:modified>
</cp:coreProperties>
</file>