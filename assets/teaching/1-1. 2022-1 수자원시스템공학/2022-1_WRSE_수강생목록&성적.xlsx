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o.kim/Dropbox/[2] 서울대학교 박사후연구원 (2022)/1-1. 2022-1 수자원시스템공학/"/>
    </mc:Choice>
  </mc:AlternateContent>
  <xr:revisionPtr revIDLastSave="0" documentId="13_ncr:1_{976B20F9-11B2-874E-91B0-A19F6A0C15E9}" xr6:coauthVersionLast="47" xr6:coauthVersionMax="47" xr10:uidLastSave="{00000000-0000-0000-0000-000000000000}"/>
  <bookViews>
    <workbookView xWindow="0" yWindow="500" windowWidth="28800" windowHeight="15800" activeTab="1" xr2:uid="{B3A5538B-A50D-4BB1-B5E1-3348E92A1F0E}"/>
  </bookViews>
  <sheets>
    <sheet name="출석 및 기타정보" sheetId="1" r:id="rId1"/>
    <sheet name="Grading" sheetId="2" r:id="rId2"/>
    <sheet name="Peer Evalu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8" i="2" l="1"/>
  <c r="G29" i="2"/>
  <c r="C27" i="3"/>
  <c r="M26" i="3" s="1"/>
  <c r="B27" i="3"/>
  <c r="M21" i="3" s="1"/>
  <c r="C13" i="3"/>
  <c r="M13" i="3" s="1"/>
  <c r="B13" i="3"/>
  <c r="M7" i="3" s="1"/>
  <c r="M27" i="3" l="1"/>
  <c r="M28" i="3"/>
  <c r="M6" i="3"/>
  <c r="M12" i="3"/>
  <c r="M9" i="3"/>
  <c r="M14" i="3"/>
  <c r="M8" i="3"/>
  <c r="M23" i="3"/>
  <c r="M22" i="3"/>
  <c r="M20" i="3"/>
  <c r="K28" i="3"/>
  <c r="N23" i="3" l="1"/>
  <c r="L28" i="3"/>
  <c r="N28" i="3" s="1"/>
  <c r="K27" i="3"/>
  <c r="L27" i="3" s="1"/>
  <c r="N27" i="3" s="1"/>
  <c r="K26" i="3"/>
  <c r="L26" i="3" s="1"/>
  <c r="N26" i="3" s="1"/>
  <c r="K23" i="3"/>
  <c r="L23" i="3" s="1"/>
  <c r="K22" i="3"/>
  <c r="L22" i="3" s="1"/>
  <c r="N22" i="3" s="1"/>
  <c r="K21" i="3"/>
  <c r="L21" i="3" s="1"/>
  <c r="N21" i="3" s="1"/>
  <c r="K20" i="3"/>
  <c r="L20" i="3" s="1"/>
  <c r="N20" i="3" s="1"/>
  <c r="H45" i="2" l="1"/>
  <c r="H25" i="2"/>
  <c r="H43" i="2"/>
  <c r="H38" i="2"/>
  <c r="I38" i="2" s="1"/>
  <c r="I6" i="2" s="1"/>
  <c r="H39" i="2"/>
  <c r="I39" i="2" s="1"/>
  <c r="I7" i="2" s="1"/>
  <c r="H40" i="2"/>
  <c r="I40" i="2" s="1"/>
  <c r="I8" i="2" s="1"/>
  <c r="H41" i="2"/>
  <c r="I41" i="2" s="1"/>
  <c r="I9" i="2" s="1"/>
  <c r="H42" i="2"/>
  <c r="I42" i="2" s="1"/>
  <c r="I10" i="2" s="1"/>
  <c r="H37" i="2"/>
  <c r="H35" i="2"/>
  <c r="O38" i="2"/>
  <c r="O39" i="2"/>
  <c r="O40" i="2"/>
  <c r="O41" i="2"/>
  <c r="O42" i="2"/>
  <c r="O43" i="2"/>
  <c r="O37" i="2"/>
  <c r="O35" i="2"/>
  <c r="P38" i="2" s="1"/>
  <c r="J6" i="2" s="1"/>
  <c r="P42" i="2" l="1"/>
  <c r="J10" i="2" s="1"/>
  <c r="P43" i="2"/>
  <c r="J11" i="2" s="1"/>
  <c r="I43" i="2"/>
  <c r="I11" i="2" s="1"/>
  <c r="P37" i="2"/>
  <c r="J5" i="2" s="1"/>
  <c r="P40" i="2"/>
  <c r="J8" i="2" s="1"/>
  <c r="I37" i="2"/>
  <c r="I5" i="2" s="1"/>
  <c r="P39" i="2"/>
  <c r="J7" i="2" s="1"/>
  <c r="P41" i="2"/>
  <c r="J9" i="2" s="1"/>
  <c r="J18" i="2"/>
  <c r="G6" i="2" s="1"/>
  <c r="J19" i="2"/>
  <c r="G7" i="2" s="1"/>
  <c r="J20" i="2"/>
  <c r="G8" i="2" s="1"/>
  <c r="J21" i="2"/>
  <c r="G9" i="2" s="1"/>
  <c r="J22" i="2"/>
  <c r="G10" i="2" s="1"/>
  <c r="J23" i="2"/>
  <c r="G11" i="2" s="1"/>
  <c r="J17" i="2"/>
  <c r="G5" i="2" s="1"/>
  <c r="H48" i="2" l="1"/>
  <c r="I48" i="2" s="1"/>
  <c r="K6" i="2" s="1"/>
  <c r="H49" i="2"/>
  <c r="I49" i="2" s="1"/>
  <c r="K7" i="2" s="1"/>
  <c r="H50" i="2"/>
  <c r="I50" i="2" s="1"/>
  <c r="K8" i="2" s="1"/>
  <c r="H51" i="2"/>
  <c r="I51" i="2" s="1"/>
  <c r="K9" i="2" s="1"/>
  <c r="H52" i="2"/>
  <c r="I52" i="2" s="1"/>
  <c r="K10" i="2" s="1"/>
  <c r="H53" i="2"/>
  <c r="I53" i="2" s="1"/>
  <c r="K11" i="2" s="1"/>
  <c r="H47" i="2"/>
  <c r="I47" i="2" s="1"/>
  <c r="K5" i="2" s="1"/>
  <c r="H33" i="2"/>
  <c r="I33" i="2" s="1"/>
  <c r="H11" i="2" s="1"/>
  <c r="H32" i="2"/>
  <c r="I32" i="2" s="1"/>
  <c r="H10" i="2" s="1"/>
  <c r="H31" i="2"/>
  <c r="I31" i="2" s="1"/>
  <c r="H9" i="2" s="1"/>
  <c r="H30" i="2"/>
  <c r="I30" i="2" s="1"/>
  <c r="H8" i="2" s="1"/>
  <c r="H29" i="2"/>
  <c r="I29" i="2" s="1"/>
  <c r="H7" i="2" s="1"/>
  <c r="H28" i="2"/>
  <c r="I28" i="2" s="1"/>
  <c r="H6" i="2" s="1"/>
  <c r="H27" i="2"/>
  <c r="I27" i="2" s="1"/>
  <c r="H5" i="2" s="1"/>
  <c r="L7" i="3" l="1"/>
  <c r="N7" i="3" s="1"/>
  <c r="K14" i="3"/>
  <c r="L14" i="3" s="1"/>
  <c r="N14" i="3" s="1"/>
  <c r="K13" i="3"/>
  <c r="L13" i="3" s="1"/>
  <c r="N13" i="3" s="1"/>
  <c r="K12" i="3"/>
  <c r="L12" i="3" s="1"/>
  <c r="N12" i="3" s="1"/>
  <c r="K9" i="3"/>
  <c r="L9" i="3" s="1"/>
  <c r="N9" i="3" s="1"/>
  <c r="K8" i="3"/>
  <c r="L8" i="3" s="1"/>
  <c r="N8" i="3" s="1"/>
  <c r="K7" i="3"/>
  <c r="K6" i="3"/>
  <c r="L6" i="3" s="1"/>
  <c r="N6" i="3" s="1"/>
  <c r="L2" i="2" l="1"/>
  <c r="I3" i="2" l="1"/>
  <c r="J3" i="2"/>
  <c r="K3" i="2"/>
  <c r="G3" i="2"/>
  <c r="H3" i="2"/>
  <c r="L10" i="2" l="1"/>
  <c r="L5" i="2"/>
  <c r="L9" i="2"/>
  <c r="L6" i="2"/>
  <c r="L7" i="2"/>
  <c r="L8" i="2"/>
  <c r="L11" i="2"/>
  <c r="O7" i="2" l="1"/>
  <c r="M7" i="2"/>
  <c r="O6" i="2"/>
  <c r="M6" i="2"/>
  <c r="O9" i="2"/>
  <c r="M9" i="2"/>
  <c r="O5" i="2"/>
  <c r="M5" i="2"/>
  <c r="O11" i="2"/>
  <c r="M11" i="2"/>
  <c r="O8" i="2"/>
  <c r="M8" i="2"/>
  <c r="O10" i="2"/>
  <c r="M10" i="2"/>
  <c r="R6" i="2" l="1"/>
  <c r="S6" i="2" s="1"/>
  <c r="R5" i="2"/>
  <c r="S5" i="2" s="1"/>
  <c r="R7" i="2"/>
  <c r="S7" i="2" s="1"/>
  <c r="R10" i="2"/>
  <c r="S10" i="2" s="1"/>
  <c r="R8" i="2"/>
  <c r="S8" i="2" s="1"/>
  <c r="R11" i="2"/>
  <c r="S11" i="2" s="1"/>
  <c r="R9" i="2"/>
  <c r="S9" i="2" s="1"/>
</calcChain>
</file>

<file path=xl/sharedStrings.xml><?xml version="1.0" encoding="utf-8"?>
<sst xmlns="http://schemas.openxmlformats.org/spreadsheetml/2006/main" count="450" uniqueCount="89">
  <si>
    <t>학과(부)</t>
    <phoneticPr fontId="1" type="noConversion"/>
  </si>
  <si>
    <t>학번</t>
    <phoneticPr fontId="1" type="noConversion"/>
  </si>
  <si>
    <t>성명</t>
    <phoneticPr fontId="1" type="noConversion"/>
  </si>
  <si>
    <t>과정</t>
    <phoneticPr fontId="1" type="noConversion"/>
  </si>
  <si>
    <t>DATACAMP</t>
    <phoneticPr fontId="1" type="noConversion"/>
  </si>
  <si>
    <t>O</t>
    <phoneticPr fontId="1" type="noConversion"/>
  </si>
  <si>
    <t>전기정보공학부</t>
    <phoneticPr fontId="1" type="noConversion"/>
  </si>
  <si>
    <t>건설환경공학부</t>
    <phoneticPr fontId="1" type="noConversion"/>
  </si>
  <si>
    <t>2022-37618</t>
    <phoneticPr fontId="1" type="noConversion"/>
  </si>
  <si>
    <t>2020-26297</t>
    <phoneticPr fontId="1" type="noConversion"/>
  </si>
  <si>
    <t>2020-29910</t>
    <phoneticPr fontId="1" type="noConversion"/>
  </si>
  <si>
    <t>2021-24690</t>
    <phoneticPr fontId="1" type="noConversion"/>
  </si>
  <si>
    <t>2021-25033</t>
    <phoneticPr fontId="1" type="noConversion"/>
  </si>
  <si>
    <t>2022-32658</t>
    <phoneticPr fontId="1" type="noConversion"/>
  </si>
  <si>
    <t>2022-35026</t>
    <phoneticPr fontId="1" type="noConversion"/>
  </si>
  <si>
    <t>이재호</t>
    <phoneticPr fontId="1" type="noConversion"/>
  </si>
  <si>
    <t>이재황</t>
    <phoneticPr fontId="1" type="noConversion"/>
  </si>
  <si>
    <t>김현주</t>
    <phoneticPr fontId="1" type="noConversion"/>
  </si>
  <si>
    <t>김연주</t>
    <phoneticPr fontId="1" type="noConversion"/>
  </si>
  <si>
    <t>남현욱</t>
    <phoneticPr fontId="1" type="noConversion"/>
  </si>
  <si>
    <t>이주형</t>
    <phoneticPr fontId="1" type="noConversion"/>
  </si>
  <si>
    <t>박성열</t>
    <phoneticPr fontId="1" type="noConversion"/>
  </si>
  <si>
    <t>박사</t>
    <phoneticPr fontId="1" type="noConversion"/>
  </si>
  <si>
    <t>석사</t>
    <phoneticPr fontId="1" type="noConversion"/>
  </si>
  <si>
    <t>순서</t>
    <phoneticPr fontId="1" type="noConversion"/>
  </si>
  <si>
    <t>X (가족 코로나 양성)</t>
    <phoneticPr fontId="1" type="noConversion"/>
  </si>
  <si>
    <t>A</t>
    <phoneticPr fontId="1" type="noConversion"/>
  </si>
  <si>
    <t>B</t>
    <phoneticPr fontId="1" type="noConversion"/>
  </si>
  <si>
    <t>Final Project A TEAM</t>
    <phoneticPr fontId="1" type="noConversion"/>
  </si>
  <si>
    <t>Participation</t>
    <phoneticPr fontId="1" type="noConversion"/>
  </si>
  <si>
    <t>DataCamp 1</t>
    <phoneticPr fontId="1" type="noConversion"/>
  </si>
  <si>
    <t>DataCamp 2</t>
    <phoneticPr fontId="1" type="noConversion"/>
  </si>
  <si>
    <t>DataCamp 3</t>
    <phoneticPr fontId="1" type="noConversion"/>
  </si>
  <si>
    <t>Assignments</t>
    <phoneticPr fontId="1" type="noConversion"/>
  </si>
  <si>
    <t>Quizzes</t>
    <phoneticPr fontId="1" type="noConversion"/>
  </si>
  <si>
    <t>Quiz 1</t>
    <phoneticPr fontId="1" type="noConversion"/>
  </si>
  <si>
    <t>Quiz 2</t>
    <phoneticPr fontId="1" type="noConversion"/>
  </si>
  <si>
    <t>TOTAL</t>
    <phoneticPr fontId="1" type="noConversion"/>
  </si>
  <si>
    <t>Test</t>
    <phoneticPr fontId="1" type="noConversion"/>
  </si>
  <si>
    <t>Final Project</t>
    <phoneticPr fontId="1" type="noConversion"/>
  </si>
  <si>
    <t>Quizzes&amp;TEST</t>
    <phoneticPr fontId="1" type="noConversion"/>
  </si>
  <si>
    <t>TEST</t>
    <phoneticPr fontId="1" type="noConversion"/>
  </si>
  <si>
    <t>만점</t>
    <phoneticPr fontId="1" type="noConversion"/>
  </si>
  <si>
    <t>A1</t>
    <phoneticPr fontId="1" type="noConversion"/>
  </si>
  <si>
    <t>만점</t>
    <phoneticPr fontId="1" type="noConversion"/>
  </si>
  <si>
    <t>보령댐 현장견학</t>
    <phoneticPr fontId="1" type="noConversion"/>
  </si>
  <si>
    <t>/</t>
    <phoneticPr fontId="1" type="noConversion"/>
  </si>
  <si>
    <t>TEST</t>
    <phoneticPr fontId="1" type="noConversion"/>
  </si>
  <si>
    <t>A2</t>
    <phoneticPr fontId="1" type="noConversion"/>
  </si>
  <si>
    <t>A</t>
    <phoneticPr fontId="1" type="noConversion"/>
  </si>
  <si>
    <t>X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</si>
  <si>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</si>
  <si>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</si>
  <si>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</si>
  <si>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Term Project A</t>
    <phoneticPr fontId="1" type="noConversion"/>
  </si>
  <si>
    <t>A조</t>
    <phoneticPr fontId="1" type="noConversion"/>
  </si>
  <si>
    <t>B조</t>
    <phoneticPr fontId="1" type="noConversion"/>
  </si>
  <si>
    <t>합계점수</t>
    <phoneticPr fontId="1" type="noConversion"/>
  </si>
  <si>
    <t>* A2 코드 표절로 -20점</t>
    <phoneticPr fontId="1" type="noConversion"/>
  </si>
  <si>
    <t>TOTAL</t>
    <phoneticPr fontId="1" type="noConversion"/>
  </si>
  <si>
    <t>X(개인일정</t>
    <phoneticPr fontId="1" type="noConversion"/>
  </si>
  <si>
    <t>X(코로나 확진)</t>
    <phoneticPr fontId="1" type="noConversion"/>
  </si>
  <si>
    <t>Term A</t>
    <phoneticPr fontId="1" type="noConversion"/>
  </si>
  <si>
    <t>Term B</t>
    <phoneticPr fontId="1" type="noConversion"/>
  </si>
  <si>
    <t>1-MC</t>
    <phoneticPr fontId="1" type="noConversion"/>
  </si>
  <si>
    <t>2-SA</t>
    <phoneticPr fontId="1" type="noConversion"/>
  </si>
  <si>
    <t>3-LA</t>
    <phoneticPr fontId="1" type="noConversion"/>
  </si>
  <si>
    <t>TOTAL</t>
    <phoneticPr fontId="1" type="noConversion"/>
  </si>
  <si>
    <t>RANK</t>
    <phoneticPr fontId="1" type="noConversion"/>
  </si>
  <si>
    <t>Order by RANK</t>
    <phoneticPr fontId="1" type="noConversion"/>
  </si>
  <si>
    <t>Term Project B</t>
    <phoneticPr fontId="1" type="noConversion"/>
  </si>
  <si>
    <t>C조</t>
    <phoneticPr fontId="1" type="noConversion"/>
  </si>
  <si>
    <t>D조</t>
    <phoneticPr fontId="1" type="noConversion"/>
  </si>
  <si>
    <t>이재황</t>
    <phoneticPr fontId="1" type="noConversion"/>
  </si>
  <si>
    <t>김현주</t>
    <phoneticPr fontId="1" type="noConversion"/>
  </si>
  <si>
    <t>박성열</t>
    <phoneticPr fontId="1" type="noConversion"/>
  </si>
  <si>
    <t>이재호</t>
    <phoneticPr fontId="1" type="noConversion"/>
  </si>
  <si>
    <t>김연주</t>
    <phoneticPr fontId="1" type="noConversion"/>
  </si>
  <si>
    <t>이주형</t>
    <phoneticPr fontId="1" type="noConversion"/>
  </si>
  <si>
    <t>남현욱</t>
    <phoneticPr fontId="1" type="noConversion"/>
  </si>
  <si>
    <t>NOCLASS</t>
    <phoneticPr fontId="1" type="noConversion"/>
  </si>
  <si>
    <t>X</t>
    <phoneticPr fontId="1" type="noConversion"/>
  </si>
  <si>
    <t>SUM</t>
  </si>
  <si>
    <t>SUM</t>
    <phoneticPr fontId="1" type="noConversion"/>
  </si>
  <si>
    <t>Letter Grade</t>
    <phoneticPr fontId="1" type="noConversion"/>
  </si>
  <si>
    <t>A+</t>
  </si>
  <si>
    <t>A0</t>
  </si>
  <si>
    <t>A-</t>
  </si>
  <si>
    <t>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</si>
</sst>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&quot;월&quot;\ dd&quot;일&quot;"/>
    <numFmt numFmtId="165" formatCode="0.0%"/>
    <numFmt numFmtId="166" formatCode="0.0000"/>
  </numFmts>
  <fonts count="5">
    <font>
      <sz val="10"/>
      <color theme="1"/>
      <name val="나눔고딕"/>
      <family val="2"/>
      <charset val="129"/>
    </font>
    <font>
      <sz val="8"/>
      <name val="나눔고딕"/>
      <family val="2"/>
      <charset val="129"/>
    </font>
    <font>
      <sz val="10"/>
      <color theme="1"/>
      <name val="나눔고딕"/>
      <family val="2"/>
      <charset val="129"/>
    </font>
    <font>
      <b/>
      <sz val="10"/>
      <color theme="1"/>
      <name val="나눔고딕"/>
      <family val="3"/>
      <charset val="129"/>
    </font>
    <font>
      <b/>
      <sz val="10"/>
      <color theme="0"/>
      <name val="나눔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16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9" fontId="0" fillId="0" borderId="0" xfId="1" applyFont="1">
      <alignment vertical="center"/>
    </xf>
    <xf numFmtId="165" fontId="0" fillId="0" borderId="0" xfId="1" applyNumberFormat="1" applyFont="1">
      <alignment vertical="center"/>
    </xf>
    <xf numFmtId="10" fontId="0" fillId="0" borderId="0" xfId="1" applyNumberFormat="1" applyFont="1">
      <alignment vertical="center"/>
    </xf>
    <xf numFmtId="166" fontId="0" fillId="0" borderId="0" xfId="0" applyNumberForma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0" fontId="3" fillId="2" borderId="1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0" fontId="3" fillId="2" borderId="8" xfId="1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4" fillId="0" borderId="0" xfId="0" applyFont="1" applyFill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601215</xdr:colOff>
      <xdr:row>21</xdr:row>
      <xdr:rowOff>125070</xdr:rowOff>
    </xdr:from>
    <xdr:to>
      <xdr:col>16</xdr:col>
      <xdr:colOff>537998</xdr:colOff>
      <xdr:row>58</xdr:row>
      <xdr:rowOff>91110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A8D08B-72F2-4368-BF2A-25743FCF9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3106" y="3603766"/>
          <a:ext cx="2686609" cy="60951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</xdr:colOff>
      <xdr:row>12</xdr:row>
      <xdr:rowOff>76201</xdr:rowOff>
    </xdr:from>
    <xdr:to>
      <xdr:col>18</xdr:col>
      <xdr:colOff>590550</xdr:colOff>
      <xdr:row>27</xdr:row>
      <xdr:rowOff>123598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66616CA-7BEB-4E23-8919-1A93E5021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2019301"/>
          <a:ext cx="4695825" cy="24762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788A6-D6B8-4A95-A2C3-26E21C388BC8}">
  <dimension ref="B3:U21"/>
  <sheetViews>
    <sheetView topLeftCell="D1" zoomScale="115" zoomScaleNormal="115" workbookViewId="0">
      <selection activeCell="T24" sqref="T24"/>
    </sheetView>
  </sheetViews>
  <sheetFormatPr baseColWidth="10" defaultColWidth="8.83203125" defaultRowHeight="13"/>
  <cols>
    <col min="3" max="3" width="12.1640625" bestFit="1" customWidth="1"/>
    <col min="4" max="4" width="11.1640625" bestFit="1" customWidth="1"/>
  </cols>
  <sheetData>
    <row r="3" spans="2:21">
      <c r="B3" t="s">
        <v>24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28</v>
      </c>
    </row>
    <row r="4" spans="2:21">
      <c r="B4">
        <v>1</v>
      </c>
      <c r="C4" t="s">
        <v>6</v>
      </c>
      <c r="D4" t="s">
        <v>8</v>
      </c>
      <c r="E4" t="s">
        <v>15</v>
      </c>
      <c r="F4" t="s">
        <v>22</v>
      </c>
      <c r="G4" t="s">
        <v>5</v>
      </c>
      <c r="H4" t="s">
        <v>26</v>
      </c>
      <c r="I4" t="s">
        <v>53</v>
      </c>
    </row>
    <row r="5" spans="2:21">
      <c r="B5">
        <v>2</v>
      </c>
      <c r="C5" t="s">
        <v>7</v>
      </c>
      <c r="D5" t="s">
        <v>9</v>
      </c>
      <c r="E5" t="s">
        <v>16</v>
      </c>
      <c r="F5" t="s">
        <v>23</v>
      </c>
      <c r="G5" t="s">
        <v>5</v>
      </c>
      <c r="H5" t="s">
        <v>26</v>
      </c>
      <c r="I5" t="s">
        <v>52</v>
      </c>
    </row>
    <row r="6" spans="2:21">
      <c r="B6">
        <v>3</v>
      </c>
      <c r="C6" t="s">
        <v>7</v>
      </c>
      <c r="D6" t="s">
        <v>10</v>
      </c>
      <c r="E6" t="s">
        <v>17</v>
      </c>
      <c r="F6" t="s">
        <v>22</v>
      </c>
      <c r="G6" t="s">
        <v>5</v>
      </c>
      <c r="H6" t="s">
        <v>27</v>
      </c>
      <c r="I6" t="s">
        <v>52</v>
      </c>
    </row>
    <row r="7" spans="2:21">
      <c r="B7">
        <v>4</v>
      </c>
      <c r="C7" t="s">
        <v>7</v>
      </c>
      <c r="D7" t="s">
        <v>11</v>
      </c>
      <c r="E7" t="s">
        <v>18</v>
      </c>
      <c r="F7" t="s">
        <v>23</v>
      </c>
      <c r="G7" t="s">
        <v>5</v>
      </c>
      <c r="H7" t="s">
        <v>26</v>
      </c>
      <c r="I7" t="s">
        <v>53</v>
      </c>
    </row>
    <row r="8" spans="2:21">
      <c r="B8">
        <v>5</v>
      </c>
      <c r="C8" t="s">
        <v>7</v>
      </c>
      <c r="D8" t="s">
        <v>12</v>
      </c>
      <c r="E8" t="s">
        <v>19</v>
      </c>
      <c r="F8" t="s">
        <v>23</v>
      </c>
      <c r="G8" t="s">
        <v>5</v>
      </c>
      <c r="H8" t="s">
        <v>27</v>
      </c>
      <c r="I8" t="s">
        <v>53</v>
      </c>
    </row>
    <row r="9" spans="2:21">
      <c r="B9">
        <v>6</v>
      </c>
      <c r="C9" t="s">
        <v>7</v>
      </c>
      <c r="D9" t="s">
        <v>13</v>
      </c>
      <c r="E9" t="s">
        <v>20</v>
      </c>
      <c r="F9" t="s">
        <v>22</v>
      </c>
      <c r="G9" t="s">
        <v>5</v>
      </c>
      <c r="H9" t="s">
        <v>27</v>
      </c>
      <c r="I9" t="s">
        <v>53</v>
      </c>
    </row>
    <row r="10" spans="2:21">
      <c r="B10">
        <v>7</v>
      </c>
      <c r="C10" t="s">
        <v>7</v>
      </c>
      <c r="D10" t="s">
        <v>14</v>
      </c>
      <c r="E10" t="s">
        <v>21</v>
      </c>
      <c r="F10" t="s">
        <v>22</v>
      </c>
      <c r="G10" t="s">
        <v>5</v>
      </c>
      <c r="H10" t="s">
        <v>26</v>
      </c>
      <c r="I10" t="s">
        <v>52</v>
      </c>
    </row>
    <row r="12" spans="2:21">
      <c r="N12" s="2" t="s">
        <v>45</v>
      </c>
      <c r="O12" t="s">
        <v>62</v>
      </c>
      <c r="Q12" s="2" t="s">
        <v>47</v>
      </c>
      <c r="U12" t="s">
        <v>63</v>
      </c>
    </row>
    <row r="13" spans="2:21">
      <c r="G13">
        <v>1</v>
      </c>
      <c r="H13">
        <v>2</v>
      </c>
      <c r="I13">
        <v>3</v>
      </c>
      <c r="J13">
        <v>4</v>
      </c>
      <c r="K13">
        <v>5</v>
      </c>
      <c r="L13">
        <v>6</v>
      </c>
      <c r="M13">
        <v>7</v>
      </c>
      <c r="N13">
        <v>8</v>
      </c>
      <c r="O13">
        <v>9</v>
      </c>
      <c r="P13">
        <v>10</v>
      </c>
      <c r="Q13">
        <v>11</v>
      </c>
      <c r="R13">
        <v>12</v>
      </c>
      <c r="S13">
        <v>13</v>
      </c>
      <c r="T13">
        <v>14</v>
      </c>
      <c r="U13">
        <v>15</v>
      </c>
    </row>
    <row r="14" spans="2:21">
      <c r="B14" t="s">
        <v>24</v>
      </c>
      <c r="C14" t="s">
        <v>0</v>
      </c>
      <c r="D14" t="s">
        <v>1</v>
      </c>
      <c r="E14" t="s">
        <v>2</v>
      </c>
      <c r="F14" t="s">
        <v>3</v>
      </c>
      <c r="G14" s="1">
        <v>44627</v>
      </c>
      <c r="H14" s="1">
        <v>44635</v>
      </c>
      <c r="I14" s="1">
        <v>44642</v>
      </c>
      <c r="J14" s="1">
        <v>44649</v>
      </c>
      <c r="K14" s="1">
        <v>44656</v>
      </c>
      <c r="L14" s="1">
        <v>44663</v>
      </c>
      <c r="M14" s="1">
        <v>44670</v>
      </c>
      <c r="N14" s="1">
        <v>44677</v>
      </c>
      <c r="O14" s="1">
        <v>44684</v>
      </c>
      <c r="P14" s="1">
        <v>44691</v>
      </c>
      <c r="Q14" s="1">
        <v>44698</v>
      </c>
      <c r="R14" s="1">
        <v>44705</v>
      </c>
      <c r="S14" s="1">
        <v>44712</v>
      </c>
      <c r="T14" s="1">
        <v>44719</v>
      </c>
      <c r="U14" s="1">
        <v>44726</v>
      </c>
    </row>
    <row r="15" spans="2:21">
      <c r="B15">
        <v>1</v>
      </c>
      <c r="C15" t="s">
        <v>6</v>
      </c>
      <c r="D15" t="s">
        <v>8</v>
      </c>
      <c r="E15" t="s">
        <v>15</v>
      </c>
      <c r="F15" t="s">
        <v>22</v>
      </c>
      <c r="G15" t="s">
        <v>5</v>
      </c>
      <c r="H15" t="s">
        <v>5</v>
      </c>
      <c r="I15" t="s">
        <v>25</v>
      </c>
      <c r="J15" t="s">
        <v>5</v>
      </c>
      <c r="K15" t="s">
        <v>5</v>
      </c>
      <c r="L15" t="s">
        <v>5</v>
      </c>
      <c r="M15" t="s">
        <v>5</v>
      </c>
      <c r="N15" s="2" t="s">
        <v>50</v>
      </c>
      <c r="O15" t="s">
        <v>5</v>
      </c>
      <c r="P15" t="s">
        <v>60</v>
      </c>
      <c r="Q15" t="s">
        <v>5</v>
      </c>
      <c r="R15" t="s">
        <v>5</v>
      </c>
      <c r="S15" t="s">
        <v>5</v>
      </c>
      <c r="T15" t="s">
        <v>80</v>
      </c>
      <c r="U15" t="s">
        <v>5</v>
      </c>
    </row>
    <row r="16" spans="2:21">
      <c r="B16">
        <v>2</v>
      </c>
      <c r="C16" t="s">
        <v>7</v>
      </c>
      <c r="D16" t="s">
        <v>9</v>
      </c>
      <c r="E16" t="s">
        <v>16</v>
      </c>
      <c r="F16" t="s">
        <v>23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s="2" t="s">
        <v>46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80</v>
      </c>
      <c r="U16" t="s">
        <v>5</v>
      </c>
    </row>
    <row r="17" spans="2:21">
      <c r="B17">
        <v>3</v>
      </c>
      <c r="C17" t="s">
        <v>7</v>
      </c>
      <c r="D17" t="s">
        <v>10</v>
      </c>
      <c r="E17" t="s">
        <v>17</v>
      </c>
      <c r="F17" t="s">
        <v>22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s="2" t="s">
        <v>46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80</v>
      </c>
      <c r="U17" t="s">
        <v>5</v>
      </c>
    </row>
    <row r="18" spans="2:21">
      <c r="B18">
        <v>4</v>
      </c>
      <c r="C18" t="s">
        <v>7</v>
      </c>
      <c r="D18" t="s">
        <v>11</v>
      </c>
      <c r="E18" t="s">
        <v>18</v>
      </c>
      <c r="F18" t="s">
        <v>23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s="2" t="s">
        <v>46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80</v>
      </c>
      <c r="U18" t="s">
        <v>5</v>
      </c>
    </row>
    <row r="19" spans="2:21">
      <c r="B19">
        <v>5</v>
      </c>
      <c r="C19" t="s">
        <v>7</v>
      </c>
      <c r="D19" t="s">
        <v>12</v>
      </c>
      <c r="E19" t="s">
        <v>19</v>
      </c>
      <c r="F19" t="s">
        <v>23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s="2" t="s">
        <v>46</v>
      </c>
      <c r="O19" t="s">
        <v>5</v>
      </c>
      <c r="P19" t="s">
        <v>50</v>
      </c>
      <c r="Q19" t="s">
        <v>5</v>
      </c>
      <c r="R19" t="s">
        <v>5</v>
      </c>
      <c r="S19" t="s">
        <v>5</v>
      </c>
      <c r="T19" t="s">
        <v>80</v>
      </c>
      <c r="U19" t="s">
        <v>5</v>
      </c>
    </row>
    <row r="20" spans="2:21">
      <c r="B20">
        <v>6</v>
      </c>
      <c r="C20" t="s">
        <v>7</v>
      </c>
      <c r="D20" t="s">
        <v>13</v>
      </c>
      <c r="E20" t="s">
        <v>20</v>
      </c>
      <c r="F20" t="s">
        <v>22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s="2" t="s">
        <v>46</v>
      </c>
      <c r="O20" t="s">
        <v>5</v>
      </c>
      <c r="P20" t="s">
        <v>61</v>
      </c>
      <c r="Q20" t="s">
        <v>5</v>
      </c>
      <c r="R20" t="s">
        <v>5</v>
      </c>
      <c r="S20" t="s">
        <v>5</v>
      </c>
      <c r="T20" t="s">
        <v>80</v>
      </c>
      <c r="U20" t="s">
        <v>5</v>
      </c>
    </row>
    <row r="21" spans="2:21">
      <c r="B21">
        <v>7</v>
      </c>
      <c r="C21" t="s">
        <v>7</v>
      </c>
      <c r="D21" t="s">
        <v>14</v>
      </c>
      <c r="E21" t="s">
        <v>21</v>
      </c>
      <c r="F21" t="s">
        <v>22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s="2" t="s">
        <v>50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80</v>
      </c>
      <c r="U21" t="s">
        <v>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A702-73DA-46EE-BD21-3D02C37553CF}">
  <dimension ref="B2:T53"/>
  <sheetViews>
    <sheetView tabSelected="1" topLeftCell="B3" zoomScale="131" zoomScaleNormal="100" workbookViewId="0">
      <selection activeCell="T12" sqref="T12"/>
    </sheetView>
  </sheetViews>
  <sheetFormatPr baseColWidth="10" defaultColWidth="8.83203125" defaultRowHeight="13"/>
  <cols>
    <col min="3" max="3" width="12.1640625" bestFit="1" customWidth="1"/>
    <col min="4" max="4" width="11.1640625" bestFit="1" customWidth="1"/>
  </cols>
  <sheetData>
    <row r="2" spans="2:20">
      <c r="G2">
        <v>10</v>
      </c>
      <c r="H2">
        <v>25</v>
      </c>
      <c r="I2">
        <v>25</v>
      </c>
      <c r="J2">
        <v>25</v>
      </c>
      <c r="K2">
        <v>15</v>
      </c>
      <c r="L2">
        <f>SUM(G2:K2)</f>
        <v>100</v>
      </c>
    </row>
    <row r="3" spans="2:20">
      <c r="G3">
        <f>G2/$L$2</f>
        <v>0.1</v>
      </c>
      <c r="H3">
        <f t="shared" ref="H3:K3" si="0">H2/$L$2</f>
        <v>0.25</v>
      </c>
      <c r="I3">
        <f t="shared" si="0"/>
        <v>0.25</v>
      </c>
      <c r="J3">
        <f t="shared" si="0"/>
        <v>0.25</v>
      </c>
      <c r="K3">
        <f t="shared" si="0"/>
        <v>0.15</v>
      </c>
    </row>
    <row r="4" spans="2:20" ht="14" thickBot="1">
      <c r="B4" t="s">
        <v>24</v>
      </c>
      <c r="C4" t="s">
        <v>0</v>
      </c>
      <c r="D4" t="s">
        <v>1</v>
      </c>
      <c r="E4" t="s">
        <v>2</v>
      </c>
      <c r="F4" t="s">
        <v>3</v>
      </c>
      <c r="G4" t="s">
        <v>29</v>
      </c>
      <c r="H4" t="s">
        <v>33</v>
      </c>
      <c r="I4" t="s">
        <v>34</v>
      </c>
      <c r="J4" t="s">
        <v>38</v>
      </c>
      <c r="K4" t="s">
        <v>39</v>
      </c>
      <c r="L4" t="s">
        <v>67</v>
      </c>
      <c r="M4" t="s">
        <v>68</v>
      </c>
      <c r="Q4" s="9" t="s">
        <v>69</v>
      </c>
      <c r="R4" s="9"/>
      <c r="S4" s="9"/>
      <c r="T4" s="9" t="s">
        <v>84</v>
      </c>
    </row>
    <row r="5" spans="2:20">
      <c r="B5">
        <v>1</v>
      </c>
      <c r="C5" t="s">
        <v>6</v>
      </c>
      <c r="D5" t="s">
        <v>8</v>
      </c>
      <c r="E5" t="s">
        <v>15</v>
      </c>
      <c r="F5" t="s">
        <v>22</v>
      </c>
      <c r="G5" s="3">
        <f>J17</f>
        <v>0.3</v>
      </c>
      <c r="H5" s="4">
        <f>I27</f>
        <v>0.36144578313253012</v>
      </c>
      <c r="I5" s="4">
        <f>I37</f>
        <v>0.2</v>
      </c>
      <c r="J5" s="4">
        <f>P37</f>
        <v>0.34285714285714286</v>
      </c>
      <c r="K5" s="4">
        <f>I47</f>
        <v>0.73145000000000016</v>
      </c>
      <c r="L5" s="5">
        <f>SUMPRODUCT($G$3:$K$3,G5:K5)</f>
        <v>0.36579323149741827</v>
      </c>
      <c r="M5">
        <f>RANK(L5,$L$5:$L$11,0)</f>
        <v>7</v>
      </c>
      <c r="N5" t="s">
        <v>15</v>
      </c>
      <c r="O5" s="7">
        <f>L5</f>
        <v>0.36579323149741827</v>
      </c>
      <c r="Q5" s="12">
        <v>1</v>
      </c>
      <c r="R5" s="13" t="str">
        <f>VLOOKUP(Q5,$M$5:$N$11,2,FALSE)</f>
        <v>이주형</v>
      </c>
      <c r="S5" s="14">
        <f>VLOOKUP(R5,$N$5:$O$11,2,FALSE)</f>
        <v>0.76510620051635114</v>
      </c>
      <c r="T5" s="15" t="s">
        <v>85</v>
      </c>
    </row>
    <row r="6" spans="2:20">
      <c r="B6">
        <v>2</v>
      </c>
      <c r="C6" t="s">
        <v>7</v>
      </c>
      <c r="D6" t="s">
        <v>9</v>
      </c>
      <c r="E6" t="s">
        <v>16</v>
      </c>
      <c r="F6" t="s">
        <v>23</v>
      </c>
      <c r="G6" s="3">
        <f t="shared" ref="G6:G11" si="1">J18</f>
        <v>0.7</v>
      </c>
      <c r="H6" s="4">
        <f t="shared" ref="H6:H11" si="2">I28</f>
        <v>0.50602409638554213</v>
      </c>
      <c r="I6" s="4">
        <f t="shared" ref="I6:I11" si="3">I38</f>
        <v>0.8125</v>
      </c>
      <c r="J6" s="4">
        <f t="shared" ref="J6:J11" si="4">P38</f>
        <v>0.7142857142857143</v>
      </c>
      <c r="K6" s="4">
        <f t="shared" ref="K6:K11" si="5">I48</f>
        <v>0.69750000000000001</v>
      </c>
      <c r="L6" s="5">
        <f t="shared" ref="L6:L11" si="6">SUMPRODUCT($G$3:$K$3,G6:K6)</f>
        <v>0.68282745266781408</v>
      </c>
      <c r="M6">
        <f t="shared" ref="M6:M11" si="7">RANK(L6,$L$5:$L$11,0)</f>
        <v>4</v>
      </c>
      <c r="N6" t="s">
        <v>16</v>
      </c>
      <c r="O6" s="7">
        <f t="shared" ref="O6:O11" si="8">L6</f>
        <v>0.68282745266781408</v>
      </c>
      <c r="Q6" s="16">
        <v>2</v>
      </c>
      <c r="R6" s="10" t="str">
        <f t="shared" ref="R6:R11" si="9">VLOOKUP(Q6,$M$5:$N$11,2,FALSE)</f>
        <v>김연주</v>
      </c>
      <c r="S6" s="11">
        <f t="shared" ref="S6:S11" si="10">VLOOKUP(R6,$N$5:$O$11,2,FALSE)</f>
        <v>0.7450435111876077</v>
      </c>
      <c r="T6" s="17" t="s">
        <v>85</v>
      </c>
    </row>
    <row r="7" spans="2:20">
      <c r="B7">
        <v>3</v>
      </c>
      <c r="C7" t="s">
        <v>7</v>
      </c>
      <c r="D7" t="s">
        <v>10</v>
      </c>
      <c r="E7" t="s">
        <v>17</v>
      </c>
      <c r="F7" t="s">
        <v>22</v>
      </c>
      <c r="G7" s="3">
        <f t="shared" si="1"/>
        <v>1</v>
      </c>
      <c r="H7" s="4">
        <f t="shared" si="2"/>
        <v>0.57831325301204817</v>
      </c>
      <c r="I7" s="4">
        <f t="shared" si="3"/>
        <v>0.57499999999999996</v>
      </c>
      <c r="J7" s="4">
        <f t="shared" si="4"/>
        <v>0.7857142857142857</v>
      </c>
      <c r="K7" s="4">
        <f t="shared" si="5"/>
        <v>0.83335000000000004</v>
      </c>
      <c r="L7" s="5">
        <f t="shared" si="6"/>
        <v>0.70975938468158351</v>
      </c>
      <c r="M7">
        <f t="shared" si="7"/>
        <v>3</v>
      </c>
      <c r="N7" t="s">
        <v>17</v>
      </c>
      <c r="O7" s="7">
        <f t="shared" si="8"/>
        <v>0.70975938468158351</v>
      </c>
      <c r="Q7" s="16">
        <v>3</v>
      </c>
      <c r="R7" s="10" t="str">
        <f t="shared" si="9"/>
        <v>김현주</v>
      </c>
      <c r="S7" s="11">
        <f t="shared" si="10"/>
        <v>0.70975938468158351</v>
      </c>
      <c r="T7" s="17" t="s">
        <v>86</v>
      </c>
    </row>
    <row r="8" spans="2:20">
      <c r="B8">
        <v>4</v>
      </c>
      <c r="C8" t="s">
        <v>7</v>
      </c>
      <c r="D8" t="s">
        <v>11</v>
      </c>
      <c r="E8" t="s">
        <v>18</v>
      </c>
      <c r="F8" t="s">
        <v>23</v>
      </c>
      <c r="G8" s="3">
        <f t="shared" si="1"/>
        <v>1</v>
      </c>
      <c r="H8" s="4">
        <f t="shared" si="2"/>
        <v>0.73493975903614461</v>
      </c>
      <c r="I8" s="4">
        <f t="shared" si="3"/>
        <v>0.78749999999999998</v>
      </c>
      <c r="J8" s="4">
        <f t="shared" si="4"/>
        <v>0.58571428571428574</v>
      </c>
      <c r="K8" s="4">
        <f t="shared" si="5"/>
        <v>0.78670000000000007</v>
      </c>
      <c r="L8" s="5">
        <f t="shared" si="6"/>
        <v>0.7450435111876077</v>
      </c>
      <c r="M8">
        <f t="shared" si="7"/>
        <v>2</v>
      </c>
      <c r="N8" t="s">
        <v>18</v>
      </c>
      <c r="O8" s="7">
        <f t="shared" si="8"/>
        <v>0.7450435111876077</v>
      </c>
      <c r="Q8" s="16">
        <v>4</v>
      </c>
      <c r="R8" s="10" t="str">
        <f t="shared" si="9"/>
        <v>이재황</v>
      </c>
      <c r="S8" s="11">
        <f t="shared" si="10"/>
        <v>0.68282745266781408</v>
      </c>
      <c r="T8" s="17" t="s">
        <v>86</v>
      </c>
    </row>
    <row r="9" spans="2:20">
      <c r="B9">
        <v>5</v>
      </c>
      <c r="C9" t="s">
        <v>7</v>
      </c>
      <c r="D9" t="s">
        <v>12</v>
      </c>
      <c r="E9" t="s">
        <v>19</v>
      </c>
      <c r="F9" t="s">
        <v>23</v>
      </c>
      <c r="G9" s="3">
        <f t="shared" si="1"/>
        <v>0</v>
      </c>
      <c r="H9" s="4">
        <f t="shared" si="2"/>
        <v>0.79518072289156627</v>
      </c>
      <c r="I9" s="4">
        <f t="shared" si="3"/>
        <v>0.65</v>
      </c>
      <c r="J9" s="4">
        <f t="shared" si="4"/>
        <v>0.5714285714285714</v>
      </c>
      <c r="K9" s="4">
        <f t="shared" si="5"/>
        <v>0.83335000000000004</v>
      </c>
      <c r="L9" s="5">
        <f t="shared" si="6"/>
        <v>0.62915482358003449</v>
      </c>
      <c r="M9">
        <f t="shared" si="7"/>
        <v>5</v>
      </c>
      <c r="N9" t="s">
        <v>19</v>
      </c>
      <c r="O9" s="7">
        <f t="shared" si="8"/>
        <v>0.62915482358003449</v>
      </c>
      <c r="Q9" s="16">
        <v>5</v>
      </c>
      <c r="R9" s="10" t="str">
        <f t="shared" si="9"/>
        <v>남현욱</v>
      </c>
      <c r="S9" s="11">
        <f t="shared" si="10"/>
        <v>0.62915482358003449</v>
      </c>
      <c r="T9" s="17" t="s">
        <v>87</v>
      </c>
    </row>
    <row r="10" spans="2:20">
      <c r="B10">
        <v>6</v>
      </c>
      <c r="C10" t="s">
        <v>7</v>
      </c>
      <c r="D10" t="s">
        <v>13</v>
      </c>
      <c r="E10" t="s">
        <v>20</v>
      </c>
      <c r="F10" t="s">
        <v>22</v>
      </c>
      <c r="G10" s="3">
        <f t="shared" si="1"/>
        <v>0.9</v>
      </c>
      <c r="H10" s="4">
        <f t="shared" si="2"/>
        <v>0.71084337349397586</v>
      </c>
      <c r="I10" s="4">
        <f t="shared" si="3"/>
        <v>0.82499999999999996</v>
      </c>
      <c r="J10" s="4">
        <f t="shared" si="4"/>
        <v>0.62857142857142856</v>
      </c>
      <c r="K10" s="4">
        <f t="shared" si="5"/>
        <v>0.89335000000000009</v>
      </c>
      <c r="L10" s="5">
        <f t="shared" si="6"/>
        <v>0.76510620051635114</v>
      </c>
      <c r="M10">
        <f t="shared" si="7"/>
        <v>1</v>
      </c>
      <c r="N10" t="s">
        <v>20</v>
      </c>
      <c r="O10" s="7">
        <f t="shared" si="8"/>
        <v>0.76510620051635114</v>
      </c>
      <c r="Q10" s="16">
        <v>6</v>
      </c>
      <c r="R10" s="10" t="str">
        <f t="shared" si="9"/>
        <v>박성열</v>
      </c>
      <c r="S10" s="11">
        <f t="shared" si="10"/>
        <v>0.41417192771084338</v>
      </c>
      <c r="T10" s="17" t="s">
        <v>88</v>
      </c>
    </row>
    <row r="11" spans="2:20" ht="14" thickBot="1">
      <c r="B11">
        <v>7</v>
      </c>
      <c r="C11" t="s">
        <v>7</v>
      </c>
      <c r="D11" t="s">
        <v>14</v>
      </c>
      <c r="E11" t="s">
        <v>21</v>
      </c>
      <c r="F11" t="s">
        <v>22</v>
      </c>
      <c r="G11" s="3">
        <f t="shared" si="1"/>
        <v>0</v>
      </c>
      <c r="H11" s="4">
        <f t="shared" si="2"/>
        <v>0.48192771084337349</v>
      </c>
      <c r="I11" s="4">
        <f t="shared" si="3"/>
        <v>0.36249999999999999</v>
      </c>
      <c r="J11" s="4">
        <f t="shared" si="4"/>
        <v>0.4</v>
      </c>
      <c r="K11" s="4">
        <f t="shared" si="5"/>
        <v>0.68710000000000004</v>
      </c>
      <c r="L11" s="5">
        <f t="shared" si="6"/>
        <v>0.41417192771084338</v>
      </c>
      <c r="M11">
        <f t="shared" si="7"/>
        <v>6</v>
      </c>
      <c r="N11" t="s">
        <v>21</v>
      </c>
      <c r="O11" s="7">
        <f t="shared" si="8"/>
        <v>0.41417192771084338</v>
      </c>
      <c r="Q11" s="18">
        <v>7</v>
      </c>
      <c r="R11" s="19" t="str">
        <f t="shared" si="9"/>
        <v>이재호</v>
      </c>
      <c r="S11" s="20">
        <f t="shared" si="10"/>
        <v>0.36579323149741827</v>
      </c>
      <c r="T11" s="21" t="s">
        <v>88</v>
      </c>
    </row>
    <row r="15" spans="2:20">
      <c r="B15" t="s">
        <v>29</v>
      </c>
      <c r="F15">
        <v>3</v>
      </c>
      <c r="G15">
        <v>3</v>
      </c>
      <c r="H15">
        <v>3</v>
      </c>
      <c r="I15">
        <v>1</v>
      </c>
      <c r="J15">
        <v>10</v>
      </c>
    </row>
    <row r="16" spans="2:20">
      <c r="B16" t="s">
        <v>24</v>
      </c>
      <c r="C16" t="s">
        <v>0</v>
      </c>
      <c r="D16" t="s">
        <v>1</v>
      </c>
      <c r="E16" t="s">
        <v>2</v>
      </c>
      <c r="F16" t="s">
        <v>30</v>
      </c>
      <c r="G16" t="s">
        <v>31</v>
      </c>
      <c r="H16" t="s">
        <v>32</v>
      </c>
      <c r="I16" t="s">
        <v>29</v>
      </c>
      <c r="J16" t="s">
        <v>37</v>
      </c>
    </row>
    <row r="17" spans="2:11">
      <c r="B17">
        <v>1</v>
      </c>
      <c r="C17" t="s">
        <v>6</v>
      </c>
      <c r="D17" t="s">
        <v>8</v>
      </c>
      <c r="E17" t="s">
        <v>15</v>
      </c>
      <c r="F17">
        <v>3</v>
      </c>
      <c r="G17">
        <v>0</v>
      </c>
      <c r="H17">
        <v>0</v>
      </c>
      <c r="I17">
        <v>0</v>
      </c>
      <c r="J17">
        <f>SUM(F17:I17)/$J$15</f>
        <v>0.3</v>
      </c>
    </row>
    <row r="18" spans="2:11">
      <c r="B18">
        <v>2</v>
      </c>
      <c r="C18" t="s">
        <v>7</v>
      </c>
      <c r="D18" t="s">
        <v>9</v>
      </c>
      <c r="E18" t="s">
        <v>16</v>
      </c>
      <c r="F18">
        <v>3</v>
      </c>
      <c r="G18">
        <v>3</v>
      </c>
      <c r="H18">
        <v>0</v>
      </c>
      <c r="I18">
        <v>1</v>
      </c>
      <c r="J18">
        <f t="shared" ref="J18:J23" si="11">SUM(F18:I18)/$J$15</f>
        <v>0.7</v>
      </c>
    </row>
    <row r="19" spans="2:11">
      <c r="B19">
        <v>3</v>
      </c>
      <c r="C19" t="s">
        <v>7</v>
      </c>
      <c r="D19" t="s">
        <v>10</v>
      </c>
      <c r="E19" t="s">
        <v>17</v>
      </c>
      <c r="F19">
        <v>3</v>
      </c>
      <c r="G19">
        <v>3</v>
      </c>
      <c r="H19">
        <v>3</v>
      </c>
      <c r="I19">
        <v>1</v>
      </c>
      <c r="J19">
        <f t="shared" si="11"/>
        <v>1</v>
      </c>
    </row>
    <row r="20" spans="2:11">
      <c r="B20">
        <v>4</v>
      </c>
      <c r="C20" t="s">
        <v>7</v>
      </c>
      <c r="D20" t="s">
        <v>11</v>
      </c>
      <c r="E20" t="s">
        <v>18</v>
      </c>
      <c r="F20">
        <v>3</v>
      </c>
      <c r="G20">
        <v>3</v>
      </c>
      <c r="H20">
        <v>3</v>
      </c>
      <c r="I20">
        <v>1</v>
      </c>
      <c r="J20">
        <f t="shared" si="11"/>
        <v>1</v>
      </c>
    </row>
    <row r="21" spans="2:11">
      <c r="B21">
        <v>5</v>
      </c>
      <c r="C21" t="s">
        <v>7</v>
      </c>
      <c r="D21" t="s">
        <v>12</v>
      </c>
      <c r="E21" t="s">
        <v>19</v>
      </c>
      <c r="F21">
        <v>0</v>
      </c>
      <c r="G21">
        <v>0</v>
      </c>
      <c r="H21">
        <v>0</v>
      </c>
      <c r="I21">
        <v>0</v>
      </c>
      <c r="J21">
        <f t="shared" si="11"/>
        <v>0</v>
      </c>
    </row>
    <row r="22" spans="2:11">
      <c r="B22">
        <v>6</v>
      </c>
      <c r="C22" t="s">
        <v>7</v>
      </c>
      <c r="D22" t="s">
        <v>13</v>
      </c>
      <c r="E22" t="s">
        <v>20</v>
      </c>
      <c r="F22">
        <v>3</v>
      </c>
      <c r="G22">
        <v>3</v>
      </c>
      <c r="H22">
        <v>3</v>
      </c>
      <c r="I22">
        <v>0</v>
      </c>
      <c r="J22">
        <f t="shared" si="11"/>
        <v>0.9</v>
      </c>
    </row>
    <row r="23" spans="2:11">
      <c r="B23">
        <v>7</v>
      </c>
      <c r="C23" t="s">
        <v>7</v>
      </c>
      <c r="D23" t="s">
        <v>14</v>
      </c>
      <c r="E23" t="s">
        <v>21</v>
      </c>
      <c r="F23">
        <v>0</v>
      </c>
      <c r="G23">
        <v>0</v>
      </c>
      <c r="H23">
        <v>0</v>
      </c>
      <c r="I23">
        <v>0</v>
      </c>
      <c r="J23">
        <f t="shared" si="11"/>
        <v>0</v>
      </c>
    </row>
    <row r="25" spans="2:11">
      <c r="B25" t="s">
        <v>33</v>
      </c>
      <c r="E25" t="s">
        <v>44</v>
      </c>
      <c r="F25">
        <v>43</v>
      </c>
      <c r="G25">
        <v>40</v>
      </c>
      <c r="H25">
        <f>F25+G25</f>
        <v>83</v>
      </c>
    </row>
    <row r="26" spans="2:11">
      <c r="B26" t="s">
        <v>24</v>
      </c>
      <c r="C26" t="s">
        <v>0</v>
      </c>
      <c r="D26" t="s">
        <v>1</v>
      </c>
      <c r="E26" t="s">
        <v>2</v>
      </c>
      <c r="F26" t="s">
        <v>43</v>
      </c>
      <c r="G26" t="s">
        <v>48</v>
      </c>
      <c r="H26" t="s">
        <v>59</v>
      </c>
      <c r="I26" t="s">
        <v>37</v>
      </c>
    </row>
    <row r="27" spans="2:11">
      <c r="B27">
        <v>1</v>
      </c>
      <c r="C27" t="s">
        <v>6</v>
      </c>
      <c r="D27" t="s">
        <v>8</v>
      </c>
      <c r="E27" t="s">
        <v>15</v>
      </c>
      <c r="F27">
        <v>30</v>
      </c>
      <c r="G27">
        <v>0</v>
      </c>
      <c r="H27">
        <f t="shared" ref="H27:H33" si="12">SUM(F27:G27)</f>
        <v>30</v>
      </c>
      <c r="I27">
        <f>H27/$H$25</f>
        <v>0.36144578313253012</v>
      </c>
      <c r="J27" s="22"/>
      <c r="K27" s="22"/>
    </row>
    <row r="28" spans="2:11">
      <c r="B28">
        <v>2</v>
      </c>
      <c r="C28" t="s">
        <v>7</v>
      </c>
      <c r="D28" t="s">
        <v>9</v>
      </c>
      <c r="E28" t="s">
        <v>16</v>
      </c>
      <c r="F28">
        <v>37</v>
      </c>
      <c r="G28">
        <f>25-20</f>
        <v>5</v>
      </c>
      <c r="H28">
        <f t="shared" si="12"/>
        <v>42</v>
      </c>
      <c r="I28">
        <f t="shared" ref="I28:I33" si="13">H28/$H$25</f>
        <v>0.50602409638554213</v>
      </c>
      <c r="J28" s="23" t="s">
        <v>58</v>
      </c>
      <c r="K28" s="22"/>
    </row>
    <row r="29" spans="2:11">
      <c r="B29">
        <v>3</v>
      </c>
      <c r="C29" t="s">
        <v>7</v>
      </c>
      <c r="D29" t="s">
        <v>10</v>
      </c>
      <c r="E29" t="s">
        <v>17</v>
      </c>
      <c r="F29">
        <v>33</v>
      </c>
      <c r="G29">
        <f>35-20</f>
        <v>15</v>
      </c>
      <c r="H29">
        <f t="shared" si="12"/>
        <v>48</v>
      </c>
      <c r="I29">
        <f t="shared" si="13"/>
        <v>0.57831325301204817</v>
      </c>
      <c r="J29" s="23" t="s">
        <v>58</v>
      </c>
      <c r="K29" s="22"/>
    </row>
    <row r="30" spans="2:11">
      <c r="B30">
        <v>4</v>
      </c>
      <c r="C30" t="s">
        <v>7</v>
      </c>
      <c r="D30" t="s">
        <v>11</v>
      </c>
      <c r="E30" t="s">
        <v>18</v>
      </c>
      <c r="F30">
        <v>33</v>
      </c>
      <c r="G30">
        <v>28</v>
      </c>
      <c r="H30">
        <f t="shared" si="12"/>
        <v>61</v>
      </c>
      <c r="I30">
        <f t="shared" si="13"/>
        <v>0.73493975903614461</v>
      </c>
      <c r="J30" s="22"/>
      <c r="K30" s="22"/>
    </row>
    <row r="31" spans="2:11">
      <c r="B31">
        <v>5</v>
      </c>
      <c r="C31" t="s">
        <v>7</v>
      </c>
      <c r="D31" t="s">
        <v>12</v>
      </c>
      <c r="E31" t="s">
        <v>19</v>
      </c>
      <c r="F31">
        <v>37</v>
      </c>
      <c r="G31">
        <v>29</v>
      </c>
      <c r="H31">
        <f t="shared" si="12"/>
        <v>66</v>
      </c>
      <c r="I31">
        <f t="shared" si="13"/>
        <v>0.79518072289156627</v>
      </c>
      <c r="J31" s="22"/>
      <c r="K31" s="22"/>
    </row>
    <row r="32" spans="2:11">
      <c r="B32">
        <v>6</v>
      </c>
      <c r="C32" t="s">
        <v>7</v>
      </c>
      <c r="D32" t="s">
        <v>13</v>
      </c>
      <c r="E32" t="s">
        <v>20</v>
      </c>
      <c r="F32">
        <v>30</v>
      </c>
      <c r="G32">
        <v>29</v>
      </c>
      <c r="H32">
        <f t="shared" si="12"/>
        <v>59</v>
      </c>
      <c r="I32">
        <f t="shared" si="13"/>
        <v>0.71084337349397586</v>
      </c>
      <c r="J32" s="22"/>
      <c r="K32" s="22"/>
    </row>
    <row r="33" spans="2:16">
      <c r="B33">
        <v>7</v>
      </c>
      <c r="C33" t="s">
        <v>7</v>
      </c>
      <c r="D33" t="s">
        <v>14</v>
      </c>
      <c r="E33" t="s">
        <v>21</v>
      </c>
      <c r="F33">
        <v>40</v>
      </c>
      <c r="G33">
        <v>0</v>
      </c>
      <c r="H33">
        <f t="shared" si="12"/>
        <v>40</v>
      </c>
      <c r="I33">
        <f t="shared" si="13"/>
        <v>0.48192771084337349</v>
      </c>
      <c r="J33" s="22"/>
      <c r="K33" s="22"/>
    </row>
    <row r="35" spans="2:16">
      <c r="B35" t="s">
        <v>40</v>
      </c>
      <c r="E35" t="s">
        <v>42</v>
      </c>
      <c r="F35">
        <v>40</v>
      </c>
      <c r="G35">
        <v>40</v>
      </c>
      <c r="H35">
        <f>F35+G35</f>
        <v>80</v>
      </c>
      <c r="L35">
        <v>15</v>
      </c>
      <c r="M35">
        <v>35</v>
      </c>
      <c r="N35">
        <v>20</v>
      </c>
      <c r="O35">
        <f>SUM(L35:N35)</f>
        <v>70</v>
      </c>
    </row>
    <row r="36" spans="2:16">
      <c r="B36" t="s">
        <v>24</v>
      </c>
      <c r="C36" t="s">
        <v>0</v>
      </c>
      <c r="D36" t="s">
        <v>1</v>
      </c>
      <c r="E36" t="s">
        <v>2</v>
      </c>
      <c r="F36" t="s">
        <v>35</v>
      </c>
      <c r="G36" t="s">
        <v>36</v>
      </c>
      <c r="H36" t="s">
        <v>59</v>
      </c>
      <c r="I36" t="s">
        <v>37</v>
      </c>
      <c r="K36" t="s">
        <v>2</v>
      </c>
      <c r="L36" t="s">
        <v>64</v>
      </c>
      <c r="M36" t="s">
        <v>65</v>
      </c>
      <c r="N36" t="s">
        <v>66</v>
      </c>
      <c r="O36" t="s">
        <v>41</v>
      </c>
      <c r="P36" t="s">
        <v>37</v>
      </c>
    </row>
    <row r="37" spans="2:16">
      <c r="B37">
        <v>1</v>
      </c>
      <c r="C37" t="s">
        <v>6</v>
      </c>
      <c r="D37" t="s">
        <v>8</v>
      </c>
      <c r="E37" t="s">
        <v>15</v>
      </c>
      <c r="F37">
        <v>11</v>
      </c>
      <c r="G37">
        <v>5</v>
      </c>
      <c r="H37">
        <f>F37+G37</f>
        <v>16</v>
      </c>
      <c r="I37">
        <f>H37/$H$35</f>
        <v>0.2</v>
      </c>
      <c r="K37" t="s">
        <v>15</v>
      </c>
      <c r="L37">
        <v>6</v>
      </c>
      <c r="M37">
        <v>11</v>
      </c>
      <c r="N37">
        <v>7</v>
      </c>
      <c r="O37">
        <f t="shared" ref="O37:O43" si="14">SUM(L37:N37)</f>
        <v>24</v>
      </c>
      <c r="P37" s="6">
        <f>O37/$O$35</f>
        <v>0.34285714285714286</v>
      </c>
    </row>
    <row r="38" spans="2:16">
      <c r="B38">
        <v>2</v>
      </c>
      <c r="C38" t="s">
        <v>7</v>
      </c>
      <c r="D38" t="s">
        <v>9</v>
      </c>
      <c r="E38" t="s">
        <v>16</v>
      </c>
      <c r="F38">
        <v>29</v>
      </c>
      <c r="G38">
        <v>36</v>
      </c>
      <c r="H38">
        <f t="shared" ref="H38:H42" si="15">F38+G38</f>
        <v>65</v>
      </c>
      <c r="I38">
        <f t="shared" ref="I38:I43" si="16">H38/$H$35</f>
        <v>0.8125</v>
      </c>
      <c r="K38" t="s">
        <v>16</v>
      </c>
      <c r="L38">
        <v>9</v>
      </c>
      <c r="M38">
        <v>26</v>
      </c>
      <c r="N38">
        <v>15</v>
      </c>
      <c r="O38">
        <f t="shared" si="14"/>
        <v>50</v>
      </c>
      <c r="P38" s="6">
        <f t="shared" ref="P38:P43" si="17">O38/$O$35</f>
        <v>0.7142857142857143</v>
      </c>
    </row>
    <row r="39" spans="2:16">
      <c r="B39">
        <v>3</v>
      </c>
      <c r="C39" t="s">
        <v>7</v>
      </c>
      <c r="D39" t="s">
        <v>10</v>
      </c>
      <c r="E39" t="s">
        <v>17</v>
      </c>
      <c r="F39">
        <v>24</v>
      </c>
      <c r="G39">
        <v>22</v>
      </c>
      <c r="H39">
        <f t="shared" si="15"/>
        <v>46</v>
      </c>
      <c r="I39">
        <f t="shared" si="16"/>
        <v>0.57499999999999996</v>
      </c>
      <c r="K39" t="s">
        <v>17</v>
      </c>
      <c r="L39">
        <v>12</v>
      </c>
      <c r="M39">
        <v>27</v>
      </c>
      <c r="N39">
        <v>16</v>
      </c>
      <c r="O39">
        <f t="shared" si="14"/>
        <v>55</v>
      </c>
      <c r="P39" s="6">
        <f t="shared" si="17"/>
        <v>0.7857142857142857</v>
      </c>
    </row>
    <row r="40" spans="2:16">
      <c r="B40">
        <v>4</v>
      </c>
      <c r="C40" t="s">
        <v>7</v>
      </c>
      <c r="D40" t="s">
        <v>11</v>
      </c>
      <c r="E40" t="s">
        <v>18</v>
      </c>
      <c r="F40">
        <v>34</v>
      </c>
      <c r="G40">
        <v>29</v>
      </c>
      <c r="H40">
        <f t="shared" si="15"/>
        <v>63</v>
      </c>
      <c r="I40">
        <f t="shared" si="16"/>
        <v>0.78749999999999998</v>
      </c>
      <c r="K40" t="s">
        <v>18</v>
      </c>
      <c r="L40">
        <v>9</v>
      </c>
      <c r="M40">
        <v>21</v>
      </c>
      <c r="N40">
        <v>11</v>
      </c>
      <c r="O40">
        <f t="shared" si="14"/>
        <v>41</v>
      </c>
      <c r="P40" s="6">
        <f t="shared" si="17"/>
        <v>0.58571428571428574</v>
      </c>
    </row>
    <row r="41" spans="2:16">
      <c r="B41">
        <v>5</v>
      </c>
      <c r="C41" t="s">
        <v>7</v>
      </c>
      <c r="D41" t="s">
        <v>12</v>
      </c>
      <c r="E41" t="s">
        <v>19</v>
      </c>
      <c r="F41">
        <v>32</v>
      </c>
      <c r="G41">
        <v>20</v>
      </c>
      <c r="H41">
        <f t="shared" si="15"/>
        <v>52</v>
      </c>
      <c r="I41">
        <f t="shared" si="16"/>
        <v>0.65</v>
      </c>
      <c r="K41" t="s">
        <v>19</v>
      </c>
      <c r="L41">
        <v>9</v>
      </c>
      <c r="M41">
        <v>15</v>
      </c>
      <c r="N41">
        <v>16</v>
      </c>
      <c r="O41">
        <f t="shared" si="14"/>
        <v>40</v>
      </c>
      <c r="P41" s="6">
        <f t="shared" si="17"/>
        <v>0.5714285714285714</v>
      </c>
    </row>
    <row r="42" spans="2:16">
      <c r="B42">
        <v>6</v>
      </c>
      <c r="C42" t="s">
        <v>7</v>
      </c>
      <c r="D42" t="s">
        <v>13</v>
      </c>
      <c r="E42" t="s">
        <v>20</v>
      </c>
      <c r="F42">
        <v>29</v>
      </c>
      <c r="G42">
        <v>37</v>
      </c>
      <c r="H42">
        <f t="shared" si="15"/>
        <v>66</v>
      </c>
      <c r="I42">
        <f t="shared" si="16"/>
        <v>0.82499999999999996</v>
      </c>
      <c r="K42" t="s">
        <v>20</v>
      </c>
      <c r="L42">
        <v>6</v>
      </c>
      <c r="M42">
        <v>24</v>
      </c>
      <c r="N42">
        <v>14</v>
      </c>
      <c r="O42">
        <f t="shared" si="14"/>
        <v>44</v>
      </c>
      <c r="P42" s="6">
        <f t="shared" si="17"/>
        <v>0.62857142857142856</v>
      </c>
    </row>
    <row r="43" spans="2:16">
      <c r="B43">
        <v>7</v>
      </c>
      <c r="C43" t="s">
        <v>7</v>
      </c>
      <c r="D43" t="s">
        <v>14</v>
      </c>
      <c r="E43" t="s">
        <v>21</v>
      </c>
      <c r="F43">
        <v>21</v>
      </c>
      <c r="G43">
        <v>8</v>
      </c>
      <c r="H43">
        <f>F43+G43</f>
        <v>29</v>
      </c>
      <c r="I43">
        <f t="shared" si="16"/>
        <v>0.36249999999999999</v>
      </c>
      <c r="K43" t="s">
        <v>21</v>
      </c>
      <c r="L43">
        <v>9</v>
      </c>
      <c r="M43">
        <v>14</v>
      </c>
      <c r="N43">
        <v>5</v>
      </c>
      <c r="O43">
        <f t="shared" si="14"/>
        <v>28</v>
      </c>
      <c r="P43" s="6">
        <f t="shared" si="17"/>
        <v>0.4</v>
      </c>
    </row>
    <row r="45" spans="2:16">
      <c r="B45" t="s">
        <v>39</v>
      </c>
      <c r="F45">
        <v>100</v>
      </c>
      <c r="G45">
        <v>100</v>
      </c>
      <c r="H45">
        <f>F45+G45</f>
        <v>200</v>
      </c>
    </row>
    <row r="46" spans="2:16">
      <c r="B46" t="s">
        <v>24</v>
      </c>
      <c r="C46" t="s">
        <v>0</v>
      </c>
      <c r="D46" t="s">
        <v>1</v>
      </c>
      <c r="E46" t="s">
        <v>2</v>
      </c>
      <c r="F46" t="s">
        <v>49</v>
      </c>
      <c r="G46" t="s">
        <v>51</v>
      </c>
      <c r="H46" t="s">
        <v>59</v>
      </c>
      <c r="I46" t="s">
        <v>37</v>
      </c>
    </row>
    <row r="47" spans="2:16">
      <c r="B47">
        <v>1</v>
      </c>
      <c r="C47" t="s">
        <v>6</v>
      </c>
      <c r="D47" t="s">
        <v>8</v>
      </c>
      <c r="E47" t="s">
        <v>15</v>
      </c>
      <c r="F47">
        <v>59.75</v>
      </c>
      <c r="G47">
        <v>86.54</v>
      </c>
      <c r="H47">
        <f>SUM(F47:G47)</f>
        <v>146.29000000000002</v>
      </c>
      <c r="I47">
        <f>H47/$H$45</f>
        <v>0.73145000000000016</v>
      </c>
    </row>
    <row r="48" spans="2:16">
      <c r="B48">
        <v>2</v>
      </c>
      <c r="C48" t="s">
        <v>7</v>
      </c>
      <c r="D48" t="s">
        <v>9</v>
      </c>
      <c r="E48" t="s">
        <v>16</v>
      </c>
      <c r="F48">
        <v>60.17</v>
      </c>
      <c r="G48">
        <v>79.33</v>
      </c>
      <c r="H48">
        <f t="shared" ref="H48:H53" si="18">SUM(F48:G48)</f>
        <v>139.5</v>
      </c>
      <c r="I48">
        <f t="shared" ref="I48:I53" si="19">H48/$H$45</f>
        <v>0.69750000000000001</v>
      </c>
    </row>
    <row r="49" spans="2:9">
      <c r="B49">
        <v>3</v>
      </c>
      <c r="C49" t="s">
        <v>7</v>
      </c>
      <c r="D49" t="s">
        <v>10</v>
      </c>
      <c r="E49" t="s">
        <v>17</v>
      </c>
      <c r="F49">
        <v>84</v>
      </c>
      <c r="G49">
        <v>82.67</v>
      </c>
      <c r="H49">
        <f t="shared" si="18"/>
        <v>166.67000000000002</v>
      </c>
      <c r="I49">
        <f t="shared" si="19"/>
        <v>0.83335000000000004</v>
      </c>
    </row>
    <row r="50" spans="2:9">
      <c r="B50">
        <v>4</v>
      </c>
      <c r="C50" t="s">
        <v>7</v>
      </c>
      <c r="D50" t="s">
        <v>11</v>
      </c>
      <c r="E50" t="s">
        <v>18</v>
      </c>
      <c r="F50">
        <v>62.67</v>
      </c>
      <c r="G50">
        <v>94.67</v>
      </c>
      <c r="H50">
        <f t="shared" si="18"/>
        <v>157.34</v>
      </c>
      <c r="I50">
        <f t="shared" si="19"/>
        <v>0.78670000000000007</v>
      </c>
    </row>
    <row r="51" spans="2:9">
      <c r="B51">
        <v>5</v>
      </c>
      <c r="C51" t="s">
        <v>7</v>
      </c>
      <c r="D51" t="s">
        <v>12</v>
      </c>
      <c r="E51" t="s">
        <v>19</v>
      </c>
      <c r="F51">
        <v>84</v>
      </c>
      <c r="G51">
        <v>82.67</v>
      </c>
      <c r="H51">
        <f t="shared" si="18"/>
        <v>166.67000000000002</v>
      </c>
      <c r="I51">
        <f t="shared" si="19"/>
        <v>0.83335000000000004</v>
      </c>
    </row>
    <row r="52" spans="2:9">
      <c r="B52">
        <v>6</v>
      </c>
      <c r="C52" t="s">
        <v>7</v>
      </c>
      <c r="D52" t="s">
        <v>13</v>
      </c>
      <c r="E52" t="s">
        <v>20</v>
      </c>
      <c r="F52">
        <v>84</v>
      </c>
      <c r="G52">
        <v>94.67</v>
      </c>
      <c r="H52">
        <f t="shared" si="18"/>
        <v>178.67000000000002</v>
      </c>
      <c r="I52">
        <f t="shared" si="19"/>
        <v>0.89335000000000009</v>
      </c>
    </row>
    <row r="53" spans="2:9">
      <c r="B53">
        <v>7</v>
      </c>
      <c r="C53" t="s">
        <v>7</v>
      </c>
      <c r="D53" t="s">
        <v>14</v>
      </c>
      <c r="E53" t="s">
        <v>21</v>
      </c>
      <c r="F53">
        <v>57.67</v>
      </c>
      <c r="G53">
        <v>79.75</v>
      </c>
      <c r="H53">
        <f t="shared" si="18"/>
        <v>137.42000000000002</v>
      </c>
      <c r="I53">
        <f t="shared" si="19"/>
        <v>0.68710000000000004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68C1-9D21-4B17-93FF-DB0FB7EF3BFB}">
  <dimension ref="B3:O28"/>
  <sheetViews>
    <sheetView workbookViewId="0">
      <selection activeCell="R27" sqref="R27"/>
    </sheetView>
  </sheetViews>
  <sheetFormatPr baseColWidth="10" defaultColWidth="8.83203125" defaultRowHeight="13"/>
  <sheetData>
    <row r="3" spans="2:15">
      <c r="B3" t="s">
        <v>54</v>
      </c>
    </row>
    <row r="4" spans="2:15">
      <c r="L4">
        <v>0.2</v>
      </c>
      <c r="M4">
        <v>0.8</v>
      </c>
      <c r="N4" t="s">
        <v>83</v>
      </c>
      <c r="O4" t="s">
        <v>82</v>
      </c>
    </row>
    <row r="5" spans="2:15">
      <c r="B5" t="s">
        <v>55</v>
      </c>
      <c r="C5" t="s">
        <v>56</v>
      </c>
      <c r="E5" t="s">
        <v>55</v>
      </c>
      <c r="K5" t="s">
        <v>57</v>
      </c>
    </row>
    <row r="6" spans="2:15">
      <c r="B6" t="s">
        <v>18</v>
      </c>
      <c r="C6" t="s">
        <v>17</v>
      </c>
      <c r="E6" t="s">
        <v>18</v>
      </c>
      <c r="F6">
        <v>16</v>
      </c>
      <c r="G6">
        <v>16</v>
      </c>
      <c r="H6">
        <v>16</v>
      </c>
      <c r="I6" t="s">
        <v>50</v>
      </c>
      <c r="K6">
        <f>SUM(F6:I6)</f>
        <v>48</v>
      </c>
      <c r="L6" s="3">
        <f>K6/48</f>
        <v>1</v>
      </c>
      <c r="M6" s="8">
        <f>$B$13</f>
        <v>0.53333333333333333</v>
      </c>
      <c r="N6" s="3">
        <f>SUMPRODUCT($L$4:$M$4,L6:M6)</f>
        <v>0.62666666666666671</v>
      </c>
      <c r="O6" s="6">
        <v>0.62666666666666671</v>
      </c>
    </row>
    <row r="7" spans="2:15">
      <c r="B7" t="s">
        <v>16</v>
      </c>
      <c r="C7" t="s">
        <v>19</v>
      </c>
      <c r="E7" t="s">
        <v>16</v>
      </c>
      <c r="F7">
        <v>16</v>
      </c>
      <c r="G7">
        <v>15</v>
      </c>
      <c r="H7" t="s">
        <v>50</v>
      </c>
      <c r="I7">
        <v>11</v>
      </c>
      <c r="K7">
        <f>SUM(F7:I7)</f>
        <v>42</v>
      </c>
      <c r="L7" s="3">
        <f>K7/48</f>
        <v>0.875</v>
      </c>
      <c r="M7" s="8">
        <f t="shared" ref="M7:M9" si="0">$B$13</f>
        <v>0.53333333333333333</v>
      </c>
      <c r="N7" s="3">
        <f t="shared" ref="N7:N9" si="1">SUMPRODUCT($L$4:$M$4,L7:M7)</f>
        <v>0.60166666666666668</v>
      </c>
      <c r="O7" s="6">
        <v>0.60166666666666668</v>
      </c>
    </row>
    <row r="8" spans="2:15">
      <c r="B8" t="s">
        <v>15</v>
      </c>
      <c r="C8" t="s">
        <v>20</v>
      </c>
      <c r="E8" t="s">
        <v>15</v>
      </c>
      <c r="F8" t="s">
        <v>50</v>
      </c>
      <c r="G8">
        <v>16</v>
      </c>
      <c r="H8">
        <v>11</v>
      </c>
      <c r="I8">
        <v>14</v>
      </c>
      <c r="K8">
        <f>SUM(F8:I8)</f>
        <v>41</v>
      </c>
      <c r="L8" s="3">
        <f>K8/48</f>
        <v>0.85416666666666663</v>
      </c>
      <c r="M8" s="8">
        <f t="shared" si="0"/>
        <v>0.53333333333333333</v>
      </c>
      <c r="N8" s="3">
        <f t="shared" si="1"/>
        <v>0.59750000000000003</v>
      </c>
      <c r="O8" s="6">
        <v>0.59750000000000003</v>
      </c>
    </row>
    <row r="9" spans="2:15">
      <c r="B9" t="s">
        <v>21</v>
      </c>
      <c r="E9" t="s">
        <v>21</v>
      </c>
      <c r="F9">
        <v>16</v>
      </c>
      <c r="G9" t="s">
        <v>50</v>
      </c>
      <c r="H9">
        <v>10</v>
      </c>
      <c r="I9">
        <v>10</v>
      </c>
      <c r="K9">
        <f>SUM(F9:I9)</f>
        <v>36</v>
      </c>
      <c r="L9" s="3">
        <f>K9/48</f>
        <v>0.75</v>
      </c>
      <c r="M9" s="8">
        <f t="shared" si="0"/>
        <v>0.53333333333333333</v>
      </c>
      <c r="N9" s="3">
        <f t="shared" si="1"/>
        <v>0.57666666666666666</v>
      </c>
      <c r="O9" s="6">
        <v>0.57666666666666666</v>
      </c>
    </row>
    <row r="10" spans="2:15">
      <c r="O10" s="6"/>
    </row>
    <row r="11" spans="2:15">
      <c r="B11">
        <v>16</v>
      </c>
      <c r="C11">
        <v>24</v>
      </c>
      <c r="E11" t="s">
        <v>56</v>
      </c>
      <c r="O11" s="6"/>
    </row>
    <row r="12" spans="2:15">
      <c r="B12">
        <v>30</v>
      </c>
      <c r="C12">
        <v>30</v>
      </c>
      <c r="E12" t="s">
        <v>17</v>
      </c>
      <c r="F12">
        <v>16</v>
      </c>
      <c r="G12">
        <v>16</v>
      </c>
      <c r="H12" t="s">
        <v>50</v>
      </c>
      <c r="K12">
        <f>SUM(F12:I12)</f>
        <v>32</v>
      </c>
      <c r="L12" s="3">
        <f>K12/32</f>
        <v>1</v>
      </c>
      <c r="M12" s="8">
        <f>$C$13</f>
        <v>0.8</v>
      </c>
      <c r="N12" s="3">
        <f>SUMPRODUCT($L$4:$M$4,L12:M12)</f>
        <v>0.84000000000000008</v>
      </c>
      <c r="O12" s="6">
        <v>0.84000000000000008</v>
      </c>
    </row>
    <row r="13" spans="2:15">
      <c r="B13" s="3">
        <f>B11/B12</f>
        <v>0.53333333333333333</v>
      </c>
      <c r="C13" s="3">
        <f>C11/C12</f>
        <v>0.8</v>
      </c>
      <c r="E13" t="s">
        <v>19</v>
      </c>
      <c r="F13">
        <v>16</v>
      </c>
      <c r="G13" t="s">
        <v>50</v>
      </c>
      <c r="H13">
        <v>16</v>
      </c>
      <c r="K13">
        <f>SUM(F13:I13)</f>
        <v>32</v>
      </c>
      <c r="L13" s="3">
        <f t="shared" ref="L13:L14" si="2">K13/32</f>
        <v>1</v>
      </c>
      <c r="M13" s="8">
        <f t="shared" ref="M13:M14" si="3">$C$13</f>
        <v>0.8</v>
      </c>
      <c r="N13" s="3">
        <f t="shared" ref="N13:N14" si="4">SUMPRODUCT($L$4:$M$4,L13:M13)</f>
        <v>0.84000000000000008</v>
      </c>
      <c r="O13" s="6">
        <v>0.84000000000000008</v>
      </c>
    </row>
    <row r="14" spans="2:15">
      <c r="E14" t="s">
        <v>20</v>
      </c>
      <c r="F14" t="s">
        <v>50</v>
      </c>
      <c r="G14">
        <v>16</v>
      </c>
      <c r="H14">
        <v>16</v>
      </c>
      <c r="K14">
        <f>SUM(F14:I14)</f>
        <v>32</v>
      </c>
      <c r="L14" s="3">
        <f t="shared" si="2"/>
        <v>1</v>
      </c>
      <c r="M14" s="8">
        <f t="shared" si="3"/>
        <v>0.8</v>
      </c>
      <c r="N14" s="3">
        <f t="shared" si="4"/>
        <v>0.84000000000000008</v>
      </c>
      <c r="O14" s="6">
        <v>0.84000000000000008</v>
      </c>
    </row>
    <row r="15" spans="2:15">
      <c r="O15" s="6"/>
    </row>
    <row r="16" spans="2:15">
      <c r="O16" s="6"/>
    </row>
    <row r="17" spans="2:15">
      <c r="B17" t="s">
        <v>70</v>
      </c>
      <c r="O17" s="6"/>
    </row>
    <row r="18" spans="2:15">
      <c r="L18">
        <v>0.2</v>
      </c>
      <c r="M18">
        <v>0.8</v>
      </c>
      <c r="N18" t="s">
        <v>83</v>
      </c>
      <c r="O18" s="6" t="s">
        <v>82</v>
      </c>
    </row>
    <row r="19" spans="2:15">
      <c r="B19" t="s">
        <v>71</v>
      </c>
      <c r="C19" t="s">
        <v>72</v>
      </c>
      <c r="E19" t="s">
        <v>71</v>
      </c>
      <c r="K19" t="s">
        <v>57</v>
      </c>
      <c r="O19" s="6"/>
    </row>
    <row r="20" spans="2:15">
      <c r="B20" t="s">
        <v>73</v>
      </c>
      <c r="C20" t="s">
        <v>76</v>
      </c>
      <c r="E20" t="s">
        <v>73</v>
      </c>
      <c r="F20" t="s">
        <v>81</v>
      </c>
      <c r="G20">
        <v>12</v>
      </c>
      <c r="H20">
        <v>15</v>
      </c>
      <c r="I20">
        <v>13</v>
      </c>
      <c r="K20">
        <f>SUM(F20:I20)</f>
        <v>40</v>
      </c>
      <c r="L20" s="3">
        <f>K20/48</f>
        <v>0.83333333333333337</v>
      </c>
      <c r="M20" s="8">
        <f>$B$27</f>
        <v>0.78333333333333333</v>
      </c>
      <c r="N20" s="3">
        <f>SUMPRODUCT($L$4:$M$4,L20:M20)</f>
        <v>0.79333333333333345</v>
      </c>
      <c r="O20" s="6">
        <v>0.79333333333333345</v>
      </c>
    </row>
    <row r="21" spans="2:15">
      <c r="B21" t="s">
        <v>74</v>
      </c>
      <c r="C21" t="s">
        <v>77</v>
      </c>
      <c r="E21" t="s">
        <v>74</v>
      </c>
      <c r="F21">
        <v>16</v>
      </c>
      <c r="G21" t="s">
        <v>81</v>
      </c>
      <c r="H21">
        <v>16</v>
      </c>
      <c r="I21">
        <v>16</v>
      </c>
      <c r="K21">
        <f>SUM(F21:I21)</f>
        <v>48</v>
      </c>
      <c r="L21" s="3">
        <f>K21/48</f>
        <v>1</v>
      </c>
      <c r="M21" s="8">
        <f t="shared" ref="M21:M23" si="5">$B$27</f>
        <v>0.78333333333333333</v>
      </c>
      <c r="N21" s="3">
        <f t="shared" ref="N21:N23" si="6">SUMPRODUCT($L$4:$M$4,L21:M21)</f>
        <v>0.82666666666666666</v>
      </c>
      <c r="O21" s="6">
        <v>0.82666666666666666</v>
      </c>
    </row>
    <row r="22" spans="2:15">
      <c r="B22" t="s">
        <v>75</v>
      </c>
      <c r="C22" t="s">
        <v>78</v>
      </c>
      <c r="E22" t="s">
        <v>75</v>
      </c>
      <c r="F22">
        <v>16</v>
      </c>
      <c r="G22">
        <v>12</v>
      </c>
      <c r="H22" t="s">
        <v>81</v>
      </c>
      <c r="I22">
        <v>13</v>
      </c>
      <c r="K22">
        <f>SUM(F22:I22)</f>
        <v>41</v>
      </c>
      <c r="L22" s="3">
        <f>K22/48</f>
        <v>0.85416666666666663</v>
      </c>
      <c r="M22" s="8">
        <f t="shared" si="5"/>
        <v>0.78333333333333333</v>
      </c>
      <c r="N22" s="3">
        <f t="shared" si="6"/>
        <v>0.7975000000000001</v>
      </c>
      <c r="O22" s="6">
        <v>0.7975000000000001</v>
      </c>
    </row>
    <row r="23" spans="2:15">
      <c r="B23" t="s">
        <v>79</v>
      </c>
      <c r="E23" t="s">
        <v>79</v>
      </c>
      <c r="F23">
        <v>16</v>
      </c>
      <c r="G23">
        <v>16</v>
      </c>
      <c r="H23">
        <v>16</v>
      </c>
      <c r="I23" t="s">
        <v>81</v>
      </c>
      <c r="K23">
        <f>SUM(F23:I23)</f>
        <v>48</v>
      </c>
      <c r="L23" s="3">
        <f>K23/48</f>
        <v>1</v>
      </c>
      <c r="M23" s="8">
        <f t="shared" si="5"/>
        <v>0.78333333333333333</v>
      </c>
      <c r="N23" s="3">
        <f t="shared" si="6"/>
        <v>0.82666666666666666</v>
      </c>
      <c r="O23" s="6">
        <v>0.82666666666666666</v>
      </c>
    </row>
    <row r="24" spans="2:15">
      <c r="O24" s="6"/>
    </row>
    <row r="25" spans="2:15">
      <c r="B25">
        <v>23.5</v>
      </c>
      <c r="C25">
        <v>28</v>
      </c>
      <c r="E25" t="s">
        <v>72</v>
      </c>
      <c r="O25" s="6"/>
    </row>
    <row r="26" spans="2:15">
      <c r="B26">
        <v>30</v>
      </c>
      <c r="C26">
        <v>30</v>
      </c>
      <c r="E26" t="s">
        <v>76</v>
      </c>
      <c r="F26" t="s">
        <v>81</v>
      </c>
      <c r="G26">
        <v>4</v>
      </c>
      <c r="H26">
        <v>15</v>
      </c>
      <c r="K26">
        <f>SUM(F26:I26)</f>
        <v>19</v>
      </c>
      <c r="L26" s="3">
        <f>K26/32</f>
        <v>0.59375</v>
      </c>
      <c r="M26" s="8">
        <f>$C$27</f>
        <v>0.93333333333333335</v>
      </c>
      <c r="N26" s="3">
        <f>SUMPRODUCT($L$4:$M$4,L26:M26)</f>
        <v>0.86541666666666672</v>
      </c>
      <c r="O26" s="6">
        <v>0.86541666666666672</v>
      </c>
    </row>
    <row r="27" spans="2:15">
      <c r="B27" s="3">
        <f>B25/B26</f>
        <v>0.78333333333333333</v>
      </c>
      <c r="C27" s="3">
        <f>C25/C26</f>
        <v>0.93333333333333335</v>
      </c>
      <c r="E27" t="s">
        <v>77</v>
      </c>
      <c r="F27">
        <v>16</v>
      </c>
      <c r="G27" t="s">
        <v>81</v>
      </c>
      <c r="H27">
        <v>16</v>
      </c>
      <c r="K27">
        <f>SUM(F27:I27)</f>
        <v>32</v>
      </c>
      <c r="L27" s="3">
        <f t="shared" ref="L27:L28" si="7">K27/32</f>
        <v>1</v>
      </c>
      <c r="M27" s="8">
        <f t="shared" ref="M27:M28" si="8">$C$27</f>
        <v>0.93333333333333335</v>
      </c>
      <c r="N27" s="3">
        <f t="shared" ref="N27:N28" si="9">SUMPRODUCT($L$4:$M$4,L27:M27)</f>
        <v>0.94666666666666677</v>
      </c>
      <c r="O27" s="6">
        <v>0.94666666666666677</v>
      </c>
    </row>
    <row r="28" spans="2:15">
      <c r="E28" t="s">
        <v>78</v>
      </c>
      <c r="F28">
        <v>16</v>
      </c>
      <c r="G28">
        <v>16</v>
      </c>
      <c r="H28" t="s">
        <v>81</v>
      </c>
      <c r="K28">
        <f>SUM(F28:J28)</f>
        <v>32</v>
      </c>
      <c r="L28" s="3">
        <f t="shared" si="7"/>
        <v>1</v>
      </c>
      <c r="M28" s="8">
        <f t="shared" si="8"/>
        <v>0.93333333333333335</v>
      </c>
      <c r="N28" s="3">
        <f t="shared" si="9"/>
        <v>0.94666666666666677</v>
      </c>
      <c r="O28" s="6">
        <v>0.94666666666666677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출석 및 기타정보</vt:lpstr>
      <vt:lpstr>Grading</vt:lpstr>
      <vt:lpstr>Peer 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 Joo Kim</dc:creator>
  <cp:lastModifiedBy>joo</cp:lastModifiedBy>
  <dcterms:created xsi:type="dcterms:W3CDTF">2022-03-08T05:53:58Z</dcterms:created>
  <dcterms:modified xsi:type="dcterms:W3CDTF">2022-06-22T07:52:39Z</dcterms:modified>
</cp:coreProperties>
</file>